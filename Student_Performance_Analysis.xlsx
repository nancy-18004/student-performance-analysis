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1e8dc0587c89d/Desktop/Student-Performance-Analysis/"/>
    </mc:Choice>
  </mc:AlternateContent>
  <xr:revisionPtr revIDLastSave="191" documentId="11_09BE01F55160B84FE266C8D75B05963804F4FBED" xr6:coauthVersionLast="47" xr6:coauthVersionMax="47" xr10:uidLastSave="{EA52ACCB-2CCC-4E55-AB65-BADF134C08F2}"/>
  <bookViews>
    <workbookView xWindow="-108" yWindow="-108" windowWidth="23256" windowHeight="13176" xr2:uid="{00000000-000D-0000-FFFF-FFFF00000000}"/>
  </bookViews>
  <sheets>
    <sheet name="Dashboard" sheetId="4" r:id="rId1"/>
    <sheet name="Course Analysis" sheetId="3" r:id="rId2"/>
    <sheet name="Sheet1" sheetId="1" r:id="rId3"/>
    <sheet name="Sheet2" sheetId="2" r:id="rId4"/>
  </sheets>
  <definedNames>
    <definedName name="_xlnm._FilterDatabase" localSheetId="2" hidden="1">Sheet1!$A$1:$I$101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5" i="4"/>
  <c r="B4" i="4"/>
  <c r="B22" i="3"/>
  <c r="B21" i="3"/>
  <c r="B10" i="2"/>
  <c r="B9" i="2"/>
  <c r="B8" i="2"/>
  <c r="B7" i="2"/>
  <c r="B6" i="2"/>
  <c r="B5" i="2"/>
  <c r="B4" i="2"/>
  <c r="B3" i="2"/>
  <c r="B2" i="2"/>
  <c r="H8" i="1"/>
  <c r="I8" i="1" s="1"/>
  <c r="H66" i="1"/>
  <c r="I66" i="1" s="1"/>
  <c r="H59" i="1"/>
  <c r="I59" i="1" s="1"/>
  <c r="H99" i="1"/>
  <c r="I99" i="1" s="1"/>
  <c r="H45" i="1"/>
  <c r="I45" i="1" s="1"/>
  <c r="H71" i="1"/>
  <c r="I71" i="1" s="1"/>
  <c r="H16" i="1"/>
  <c r="I16" i="1" s="1"/>
  <c r="H94" i="1"/>
  <c r="I94" i="1" s="1"/>
  <c r="H37" i="1"/>
  <c r="I37" i="1" s="1"/>
  <c r="H81" i="1"/>
  <c r="I81" i="1" s="1"/>
  <c r="H7" i="1"/>
  <c r="I7" i="1" s="1"/>
  <c r="H52" i="1"/>
  <c r="I52" i="1" s="1"/>
  <c r="H55" i="1"/>
  <c r="I55" i="1" s="1"/>
  <c r="H92" i="1"/>
  <c r="I92" i="1" s="1"/>
  <c r="H30" i="1"/>
  <c r="I30" i="1" s="1"/>
  <c r="H69" i="1"/>
  <c r="I69" i="1" s="1"/>
  <c r="H21" i="1"/>
  <c r="I21" i="1" s="1"/>
  <c r="H100" i="1"/>
  <c r="I100" i="1" s="1"/>
  <c r="H41" i="1"/>
  <c r="I41" i="1" s="1"/>
  <c r="H83" i="1"/>
  <c r="I83" i="1" s="1"/>
  <c r="H15" i="1"/>
  <c r="I15" i="1" s="1"/>
  <c r="H73" i="1"/>
  <c r="I73" i="1" s="1"/>
  <c r="H49" i="1"/>
  <c r="I49" i="1" s="1"/>
  <c r="H90" i="1"/>
  <c r="I90" i="1" s="1"/>
  <c r="H31" i="1"/>
  <c r="I31" i="1" s="1"/>
  <c r="H65" i="1"/>
  <c r="I65" i="1" s="1"/>
  <c r="H24" i="1"/>
  <c r="I24" i="1" s="1"/>
  <c r="H93" i="1"/>
  <c r="I93" i="1" s="1"/>
  <c r="H57" i="1"/>
  <c r="I57" i="1" s="1"/>
  <c r="H76" i="1"/>
  <c r="I76" i="1" s="1"/>
  <c r="H6" i="1"/>
  <c r="I6" i="1" s="1"/>
  <c r="H63" i="1"/>
  <c r="I63" i="1" s="1"/>
  <c r="H44" i="1"/>
  <c r="I44" i="1" s="1"/>
  <c r="H97" i="1"/>
  <c r="I97" i="1" s="1"/>
  <c r="H28" i="1"/>
  <c r="I28" i="1" s="1"/>
  <c r="H56" i="1"/>
  <c r="I56" i="1" s="1"/>
  <c r="H13" i="1"/>
  <c r="I13" i="1" s="1"/>
  <c r="H80" i="1"/>
  <c r="I80" i="1" s="1"/>
  <c r="H40" i="1"/>
  <c r="I40" i="1" s="1"/>
  <c r="H89" i="1"/>
  <c r="I89" i="1" s="1"/>
  <c r="H11" i="1"/>
  <c r="I11" i="1" s="1"/>
  <c r="H68" i="1"/>
  <c r="I68" i="1" s="1"/>
  <c r="H26" i="1"/>
  <c r="I26" i="1" s="1"/>
  <c r="H88" i="1"/>
  <c r="I88" i="1" s="1"/>
  <c r="H42" i="1"/>
  <c r="I42" i="1" s="1"/>
  <c r="H62" i="1"/>
  <c r="I62" i="1" s="1"/>
  <c r="H19" i="1"/>
  <c r="I19" i="1" s="1"/>
  <c r="H101" i="1"/>
  <c r="I101" i="1" s="1"/>
  <c r="H34" i="1"/>
  <c r="I34" i="1" s="1"/>
  <c r="H72" i="1"/>
  <c r="I72" i="1" s="1"/>
  <c r="H3" i="1"/>
  <c r="I3" i="1" s="1"/>
  <c r="H39" i="1"/>
  <c r="I39" i="1" s="1"/>
  <c r="H53" i="1"/>
  <c r="I53" i="1" s="1"/>
  <c r="H85" i="1"/>
  <c r="I85" i="1" s="1"/>
  <c r="H20" i="1"/>
  <c r="I20" i="1" s="1"/>
  <c r="H67" i="1"/>
  <c r="I67" i="1" s="1"/>
  <c r="H29" i="1"/>
  <c r="I29" i="1" s="1"/>
  <c r="H96" i="1"/>
  <c r="I96" i="1" s="1"/>
  <c r="H43" i="1"/>
  <c r="I43" i="1" s="1"/>
  <c r="H77" i="1"/>
  <c r="I77" i="1" s="1"/>
  <c r="H10" i="1"/>
  <c r="I10" i="1" s="1"/>
  <c r="H54" i="1"/>
  <c r="I54" i="1" s="1"/>
  <c r="H22" i="1"/>
  <c r="I22" i="1" s="1"/>
  <c r="H91" i="1"/>
  <c r="I91" i="1" s="1"/>
  <c r="H36" i="1"/>
  <c r="I36" i="1" s="1"/>
  <c r="H70" i="1"/>
  <c r="I70" i="1" s="1"/>
  <c r="H4" i="1"/>
  <c r="I4" i="1" s="1"/>
  <c r="H75" i="1"/>
  <c r="I75" i="1" s="1"/>
  <c r="H48" i="1"/>
  <c r="I48" i="1" s="1"/>
  <c r="H98" i="1"/>
  <c r="I98" i="1" s="1"/>
  <c r="H23" i="1"/>
  <c r="I23" i="1" s="1"/>
  <c r="H50" i="1"/>
  <c r="I50" i="1" s="1"/>
  <c r="H18" i="1"/>
  <c r="I18" i="1" s="1"/>
  <c r="H82" i="1"/>
  <c r="I82" i="1" s="1"/>
  <c r="H38" i="1"/>
  <c r="I38" i="1" s="1"/>
  <c r="H58" i="1"/>
  <c r="I58" i="1" s="1"/>
  <c r="H14" i="1"/>
  <c r="I14" i="1" s="1"/>
  <c r="H86" i="1"/>
  <c r="I86" i="1" s="1"/>
  <c r="H32" i="1"/>
  <c r="I32" i="1" s="1"/>
  <c r="H78" i="1"/>
  <c r="I78" i="1" s="1"/>
  <c r="H5" i="1"/>
  <c r="I5" i="1" s="1"/>
  <c r="H61" i="1"/>
  <c r="I61" i="1" s="1"/>
  <c r="H46" i="1"/>
  <c r="I46" i="1" s="1"/>
  <c r="H95" i="1"/>
  <c r="I95" i="1" s="1"/>
  <c r="H17" i="1"/>
  <c r="I17" i="1" s="1"/>
  <c r="H47" i="1"/>
  <c r="I47" i="1" s="1"/>
  <c r="H25" i="1"/>
  <c r="I25" i="1" s="1"/>
  <c r="H79" i="1"/>
  <c r="I79" i="1" s="1"/>
  <c r="H12" i="1"/>
  <c r="I12" i="1" s="1"/>
  <c r="H60" i="1"/>
  <c r="I60" i="1" s="1"/>
  <c r="H33" i="1"/>
  <c r="I33" i="1" s="1"/>
  <c r="H87" i="1"/>
  <c r="I87" i="1" s="1"/>
  <c r="H2" i="1"/>
  <c r="I2" i="1" s="1"/>
  <c r="H74" i="1"/>
  <c r="I74" i="1" s="1"/>
  <c r="H27" i="1"/>
  <c r="I27" i="1" s="1"/>
  <c r="H51" i="1"/>
  <c r="I51" i="1" s="1"/>
  <c r="H9" i="1"/>
  <c r="I9" i="1" s="1"/>
  <c r="H84" i="1"/>
  <c r="I84" i="1" s="1"/>
  <c r="H35" i="1"/>
  <c r="I35" i="1" s="1"/>
  <c r="H64" i="1"/>
  <c r="I64" i="1" s="1"/>
</calcChain>
</file>

<file path=xl/sharedStrings.xml><?xml version="1.0" encoding="utf-8"?>
<sst xmlns="http://schemas.openxmlformats.org/spreadsheetml/2006/main" count="339" uniqueCount="138">
  <si>
    <t>Student_ID</t>
  </si>
  <si>
    <t>Gender</t>
  </si>
  <si>
    <t>Course</t>
  </si>
  <si>
    <t>Attendance</t>
  </si>
  <si>
    <t>Assignment_Score</t>
  </si>
  <si>
    <t>Midterm_Score</t>
  </si>
  <si>
    <t>Final_Score</t>
  </si>
  <si>
    <t>Total_Score</t>
  </si>
  <si>
    <t>Result</t>
  </si>
  <si>
    <t>S001</t>
  </si>
  <si>
    <t>Female</t>
  </si>
  <si>
    <t>Information Technology</t>
  </si>
  <si>
    <t>S002</t>
  </si>
  <si>
    <t>Male</t>
  </si>
  <si>
    <t>Computer Science</t>
  </si>
  <si>
    <t>S003</t>
  </si>
  <si>
    <t>Data Science</t>
  </si>
  <si>
    <t>S004</t>
  </si>
  <si>
    <t>Commerce</t>
  </si>
  <si>
    <t>S005</t>
  </si>
  <si>
    <t>Business Administration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</si>
  <si>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</si>
  <si>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</si>
  <si>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</si>
  <si>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</si>
  <si>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</si>
  <si>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</si>
  <si>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</si>
  <si>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</si>
  <si>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</si>
  <si>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</si>
  <si>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</si>
  <si>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</si>
  <si>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</si>
  <si>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</si>
  <si>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</si>
  <si>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</si>
  <si>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</si>
  <si>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</si>
  <si>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</si>
  <si>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</si>
  <si>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</si>
  <si>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</si>
  <si>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</si>
  <si>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</si>
  <si>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</si>
  <si>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</si>
  <si>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</si>
  <si>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</si>
  <si>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</si>
  <si>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</si>
  <si>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</si>
  <si>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</si>
  <si>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</si>
  <si>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</si>
  <si>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</si>
  <si>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</si>
  <si>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</si>
  <si>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</si>
  <si>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</si>
  <si>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</si>
  <si>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</si>
  <si>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</si>
  <si>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</si>
  <si>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</si>
  <si>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</si>
  <si>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</si>
  <si>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</si>
  <si>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</si>
  <si>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</si>
  <si>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</si>
  <si>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</si>
  <si>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</si>
  <si>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</si>
  <si>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</si>
  <si>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</si>
  <si>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</si>
  <si>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</si>
  <si>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</si>
  <si>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</si>
  <si>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</si>
  <si>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</si>
  <si>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</si>
  <si>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</si>
  <si>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</si>
  <si>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</si>
  <si>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</si>
  <si>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</si>
  <si>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</si>
  <si>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</si>
  <si>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</si>
  <si>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</si>
  <si>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</si>
  <si>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</si>
  <si>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</si>
  <si>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</si>
  <si>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</si>
  <si>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</si>
  <si>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</si>
  <si>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</si>
  <si>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</si>
  <si>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</si>
  <si>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</si>
  <si>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</si>
  <si>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</si>
  <si>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</si>
  <si>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</si>
  <si>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</si>
  <si>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</si>
  <si>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</si>
  <si>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</si>
  <si>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</si>
  <si>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</si>
  <si>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</si>
  <si>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</si>
  <si>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</si>
  <si>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Metric</t>
  </si>
  <si>
    <t>Average Assignment Score</t>
  </si>
  <si>
    <t>Value</t>
  </si>
  <si>
    <t>Average Midterm Score</t>
  </si>
  <si>
    <t>Average Final Score</t>
  </si>
  <si>
    <t>Average Overall Score</t>
  </si>
  <si>
    <t>Highest Overall Score</t>
  </si>
  <si>
    <t>Lowest Overall Score</t>
  </si>
  <si>
    <t>Pass Students</t>
  </si>
  <si>
    <t>Fail Students</t>
  </si>
  <si>
    <t>Pass Percentage</t>
  </si>
  <si>
    <t>Row Labels</t>
  </si>
  <si>
    <t>Grand Total</t>
  </si>
  <si>
    <t>Average of Total_Score</t>
  </si>
  <si>
    <t>Count of Student_ID</t>
  </si>
  <si>
    <t>Number of Students</t>
  </si>
  <si>
    <t>Pass</t>
  </si>
  <si>
    <t>Fail</t>
  </si>
  <si>
    <t>STUDENT PERFORMANCE ANALYSIS</t>
  </si>
  <si>
    <t>Excel Data Analysis Project</t>
  </si>
  <si>
    <t>Total Students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</si>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</sst>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3" fillId="0" borderId="1" xfId="0" applyFont="1" applyBorder="1"/>
    <xf numFmtId="9" fontId="0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[Student_Performance_Analysis.xlsx]Course 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</a:t>
            </a:r>
            <a:r>
              <a:rPr lang="en-US" baseline="0"/>
              <a:t> by Course</a:t>
            </a:r>
            <a:endParaRPr lang="en-US"/>
          </a:p>
        </c:rich>
      </c:tx>
      <c:layout>
        <c:manualLayout>
          <c:xMode val="edge"/>
          <c:yMode val="edge"/>
          <c:x val="0.18474680909327135"/>
          <c:y val="4.8198715724161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 Analysis'!$B$3</c:f>
              <c:strCache>
                <c:ptCount val="1"/>
                <c:pt idx="0">
                  <c:v>Average of Total_Score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'Course Analysis'!$A$4:$A$9</c:f>
              <c:strCache>
                <c:ptCount val="5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Data Science</c:v>
                </c:pt>
                <c:pt idx="4">
                  <c:v>Information Technology</c:v>
                </c:pt>
              </c:strCache>
            </c:strRef>
          </c:cat>
          <c:val>
            <c:numRef>
              <c:f>'Course Analysis'!$B$4:$B$9</c:f>
              <c:numCache>
                <c:formatCode>0.00</c:formatCode>
                <c:ptCount val="5"/>
                <c:pt idx="0">
                  <c:v>70.833500000000001</c:v>
                </c:pt>
                <c:pt idx="1">
                  <c:v>72.032499999999999</c:v>
                </c:pt>
                <c:pt idx="2">
                  <c:v>82.366500000000002</c:v>
                </c:pt>
                <c:pt idx="3">
                  <c:v>81.917999999999992</c:v>
                </c:pt>
                <c:pt idx="4">
                  <c:v>79.018000000000001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8-42CA-B1DD-E0B0D6980702}"/>
            </c:ext>
          </c:extLst>
        </c:ser>
        <c:ser>
          <c:idx val="1"/>
          <c:order val="1"/>
          <c:tx>
            <c:strRef>
              <c:f>'Course Analysis'!$C$3</c:f>
              <c:strCache>
                <c:ptCount val="1"/>
                <c:pt idx="0">
                  <c:v>Count of Student_ID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'Course Analysis'!$A$4:$A$9</c:f>
              <c:strCache>
                <c:ptCount val="5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Data Science</c:v>
                </c:pt>
                <c:pt idx="4">
                  <c:v>Information Technology</c:v>
                </c:pt>
              </c:strCache>
            </c:strRef>
          </c:cat>
          <c:val>
            <c:numRef>
              <c:f>'Course Analysis'!$C$4:$C$9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72-43BD-832C-C39267747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5765360"/>
        <c:axId val="1357685584"/>
      </c:barChart>
      <c:catAx>
        <c:axId val="135576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85584"/>
        <c:crosses val="autoZero"/>
        <c:auto val="1"/>
        <c:lblAlgn val="ctr"/>
        <c:lblOffset val="100"/>
        <c:noMultiLvlLbl val="0"/>
      </c:catAx>
      <c:valAx>
        <c:axId val="13576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6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Pass</a:t>
            </a:r>
            <a:r>
              <a:rPr lang="en-IN" baseline="0"/>
              <a:t> vs Fail Students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95-4805-A533-008353C87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95-4805-A533-008353C87F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'Course Analysis'!$A$20:$A$22</c15:sqref>
                  </c15:fullRef>
                </c:ext>
              </c:extLst>
              <c:f>'Course Analysis'!$A$21:$A$22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'Course Analysis'!$B$20:$B$22</c15:sqref>
                  </c15:fullRef>
                </c:ext>
              </c:extLst>
              <c:f>'Course Analysis'!$B$21:$B$22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0A95-4805-A533-008353C87F9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A95-4805-A533-008353C87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A95-4805-A533-008353C87F9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'Course Analysis'!$A$20:$A$22</c15:sqref>
                  </c15:fullRef>
                </c:ext>
              </c:extLst>
              <c:f>'Course Analysis'!$A$21:$A$22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'Course Analysis'!$C$20:$C$22</c15:sqref>
                  </c15:fullRef>
                </c:ext>
              </c:extLst>
              <c:f>'Course Analysis'!$C$21:$C$22</c:f>
              <c:numCache>
                <c:formatCode>General</c:formatCode>
                <c:ptCount val="2"/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9-0A95-4805-A533-008353C87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[Student_Performance_Analysis.xlsx]Course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</a:t>
            </a:r>
            <a:r>
              <a:rPr lang="en-US" baseline="0"/>
              <a:t> by Course</a:t>
            </a:r>
            <a:endParaRPr lang="en-US"/>
          </a:p>
        </c:rich>
      </c:tx>
      <c:layout>
        <c:manualLayout>
          <c:xMode val="edge"/>
          <c:yMode val="edge"/>
          <c:x val="0.18474673840932743"/>
          <c:y val="0.11951426249770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 Analysis'!$B$3</c:f>
              <c:strCache>
                <c:ptCount val="1"/>
                <c:pt idx="0">
                  <c:v>Average of Total_Score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'Course Analysis'!$A$4:$A$9</c:f>
              <c:strCache>
                <c:ptCount val="5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Data Science</c:v>
                </c:pt>
                <c:pt idx="4">
                  <c:v>Information Technology</c:v>
                </c:pt>
              </c:strCache>
            </c:strRef>
          </c:cat>
          <c:val>
            <c:numRef>
              <c:f>'Course Analysis'!$B$4:$B$9</c:f>
              <c:numCache>
                <c:formatCode>0.00</c:formatCode>
                <c:ptCount val="5"/>
                <c:pt idx="0">
                  <c:v>70.833500000000001</c:v>
                </c:pt>
                <c:pt idx="1">
                  <c:v>72.032499999999999</c:v>
                </c:pt>
                <c:pt idx="2">
                  <c:v>82.366500000000002</c:v>
                </c:pt>
                <c:pt idx="3">
                  <c:v>81.917999999999992</c:v>
                </c:pt>
                <c:pt idx="4">
                  <c:v>79.018000000000001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1-4225-A5A3-6E8B8DFA65BA}"/>
            </c:ext>
          </c:extLst>
        </c:ser>
        <c:ser>
          <c:idx val="1"/>
          <c:order val="1"/>
          <c:tx>
            <c:strRef>
              <c:f>'Course Analysis'!$C$3</c:f>
              <c:strCache>
                <c:ptCount val="1"/>
                <c:pt idx="0">
                  <c:v>Count of Student_ID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'Course Analysis'!$A$4:$A$9</c:f>
              <c:strCache>
                <c:ptCount val="5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Data Science</c:v>
                </c:pt>
                <c:pt idx="4">
                  <c:v>Information Technology</c:v>
                </c:pt>
              </c:strCache>
            </c:strRef>
          </c:cat>
          <c:val>
            <c:numRef>
              <c:f>'Course Analysis'!$C$4:$C$9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E1-4225-A5A3-6E8B8DFA65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5765360"/>
        <c:axId val="1357685584"/>
      </c:barChart>
      <c:catAx>
        <c:axId val="135576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85584"/>
        <c:crosses val="autoZero"/>
        <c:auto val="1"/>
        <c:lblAlgn val="ctr"/>
        <c:lblOffset val="100"/>
        <c:noMultiLvlLbl val="0"/>
      </c:catAx>
      <c:valAx>
        <c:axId val="13576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6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Pass</a:t>
            </a:r>
            <a:r>
              <a:rPr lang="en-IN" baseline="0"/>
              <a:t> vs Fail Students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E9-460F-AED1-1E2A4BBF53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E9-460F-AED1-1E2A4BBF53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'Course Analysis'!$A$20:$A$22</c15:sqref>
                  </c15:fullRef>
                </c:ext>
              </c:extLst>
              <c:f>'Course Analysis'!$A$21:$A$22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'Course Analysis'!$B$20:$B$22</c15:sqref>
                  </c15:fullRef>
                </c:ext>
              </c:extLst>
              <c:f>'Course Analysis'!$B$21:$B$22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A30B-4CD8-9C92-2D5761432F8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E9-460F-AED1-1E2A4BBF53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E9-460F-AED1-1E2A4BBF53C1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'Course Analysis'!$A$20:$A$22</c15:sqref>
                  </c15:fullRef>
                </c:ext>
              </c:extLst>
              <c:f>'Course Analysis'!$A$21:$A$22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'Course Analysis'!$C$20:$C$22</c15:sqref>
                  </c15:fullRef>
                </c:ext>
              </c:extLst>
              <c:f>'Course Analysis'!$C$21:$C$22</c:f>
              <c:numCache>
                <c:formatCode>General</c:formatCode>
                <c:ptCount val="2"/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A30B-4CD8-9C92-2D5761432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</xdr:col>
      <xdr:colOff>603250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30549-7B73-4D46-9C03-51D2F76BC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26</xdr:row>
      <xdr:rowOff>31750</xdr:rowOff>
    </xdr:from>
    <xdr:to>
      <xdr:col>2</xdr:col>
      <xdr:colOff>0</xdr:colOff>
      <xdr:row>39</xdr:row>
      <xdr:rowOff>52916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B4A905-851A-4034-BE02-8CDB72EF2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160026</xdr:colOff>
      <xdr:row>1</xdr:row>
      <xdr:rowOff>19050</xdr:rowOff>
    </xdr:from>
    <xdr:to>
      <xdr:col>10</xdr:col>
      <xdr:colOff>464826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077F7-F34B-B042-E968-280B148E3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245755</xdr:colOff>
      <xdr:row>18</xdr:row>
      <xdr:rowOff>76095</xdr:rowOff>
    </xdr:from>
    <xdr:to>
      <xdr:col>10</xdr:col>
      <xdr:colOff>548456</xdr:colOff>
      <xdr:row>33</xdr:row>
      <xdr:rowOff>79874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FA3E95-0DAF-3DB3-18CB-D3355AF5D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cy Pancholi" refreshedDate="46297.861282175923" createdVersion="8" refreshedVersion="8" minRefreshableVersion="3" recordCount="100" xr:uid="{7DA84F98-7ED3-400B-8A81-E24A0BF09D26}">
  <cacheSource type="worksheet">
    <worksheetSource ref="A1:I101" sheet="Sheet1"/>
  </cacheSource>
  <cacheFields count="9">
    <cacheField name="Student_ID" numFmtId="0">
      <sharedItems/>
    </cacheField>
    <cacheField name="Gender" numFmtId="0">
      <sharedItems/>
    </cacheField>
    <cacheField name="Course" numFmtId="0">
      <sharedItems count="5">
        <s v="Data Science"/>
        <s v="Business Administration"/>
        <s v="Commerce"/>
        <s v="Computer Science"/>
        <s v="Information Technology"/>
      </sharedItems>
    </cacheField>
    <cacheField name="Attendance" numFmtId="1">
      <sharedItems containsSemiMixedTypes="0" containsString="0" containsNumber="1" containsInteger="1" minValue="60" maxValue="99"/>
    </cacheField>
    <cacheField name="Assignment_Score" numFmtId="1">
      <sharedItems containsSemiMixedTypes="0" containsString="0" containsNumber="1" containsInteger="1" minValue="51" maxValue="96"/>
    </cacheField>
    <cacheField name="Midterm_Score" numFmtId="1">
      <sharedItems containsSemiMixedTypes="0" containsString="0" containsNumber="1" containsInteger="1" minValue="48" maxValue="95"/>
    </cacheField>
    <cacheField name="Final_Score" numFmtId="1">
      <sharedItems containsSemiMixedTypes="0" containsString="0" containsNumber="1" containsInteger="1" minValue="52" maxValue="98"/>
    </cacheField>
    <cacheField name="Total_Score" numFmtId="2">
      <sharedItems containsSemiMixedTypes="0" containsString="0" containsNumber="1" minValue="51.67" maxValue="96.33"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008"/>
    <s v="Male"/>
    <x v="0"/>
    <n v="61"/>
    <n v="52"/>
    <n v="48"/>
    <n v="55"/>
    <n v="51.67"/>
    <s v="Pass"/>
  </r>
  <r>
    <s v="S050"/>
    <s v="Male"/>
    <x v="1"/>
    <n v="60"/>
    <n v="51"/>
    <n v="55"/>
    <n v="53"/>
    <n v="53"/>
    <s v="Pass"/>
  </r>
  <r>
    <s v="S034"/>
    <s v="Male"/>
    <x v="2"/>
    <n v="62"/>
    <n v="54"/>
    <n v="56"/>
    <n v="52"/>
    <n v="54"/>
    <s v="Pass"/>
  </r>
  <r>
    <s v="S020"/>
    <s v="Male"/>
    <x v="1"/>
    <n v="63"/>
    <n v="55"/>
    <n v="52"/>
    <n v="58"/>
    <n v="55"/>
    <s v="Pass"/>
  </r>
  <r>
    <s v="S070"/>
    <s v="Male"/>
    <x v="1"/>
    <n v="61"/>
    <n v="53"/>
    <n v="57"/>
    <n v="55"/>
    <n v="55"/>
    <s v="Pass"/>
  </r>
  <r>
    <s v="S090"/>
    <s v="Male"/>
    <x v="1"/>
    <n v="63"/>
    <n v="55"/>
    <n v="58"/>
    <n v="57"/>
    <n v="56.67"/>
    <s v="Pass"/>
  </r>
  <r>
    <s v="S100"/>
    <s v="Male"/>
    <x v="1"/>
    <n v="65"/>
    <n v="57"/>
    <n v="60"/>
    <n v="56"/>
    <n v="57.67"/>
    <s v="Pass"/>
  </r>
  <r>
    <s v="S004"/>
    <s v="Male"/>
    <x v="2"/>
    <n v="67"/>
    <n v="58"/>
    <n v="62"/>
    <n v="55"/>
    <n v="58.33"/>
    <s v="Pass"/>
  </r>
  <r>
    <s v="S040"/>
    <s v="Male"/>
    <x v="1"/>
    <n v="65"/>
    <n v="58"/>
    <n v="60"/>
    <n v="57"/>
    <n v="58.33"/>
    <s v="Pass"/>
  </r>
  <r>
    <s v="S060"/>
    <s v="Male"/>
    <x v="1"/>
    <n v="64"/>
    <n v="56"/>
    <n v="59"/>
    <n v="61"/>
    <n v="58.67"/>
    <s v="Pass"/>
  </r>
  <r>
    <s v="S012"/>
    <s v="Male"/>
    <x v="3"/>
    <n v="64"/>
    <n v="57"/>
    <n v="61"/>
    <n v="59"/>
    <n v="59"/>
    <s v="Pass"/>
  </r>
  <r>
    <s v="S064"/>
    <s v="Male"/>
    <x v="2"/>
    <n v="67"/>
    <n v="59"/>
    <n v="61"/>
    <n v="58"/>
    <n v="59.33"/>
    <s v="Pass"/>
  </r>
  <r>
    <s v="S024"/>
    <s v="Male"/>
    <x v="2"/>
    <n v="68"/>
    <n v="60"/>
    <n v="57"/>
    <n v="62"/>
    <n v="59.67"/>
    <s v="Pass"/>
  </r>
  <r>
    <s v="S080"/>
    <s v="Male"/>
    <x v="1"/>
    <n v="66"/>
    <n v="58"/>
    <n v="62"/>
    <n v="60"/>
    <n v="60"/>
    <s v="Pass"/>
  </r>
  <r>
    <s v="S094"/>
    <s v="Male"/>
    <x v="2"/>
    <n v="68"/>
    <n v="60"/>
    <n v="62"/>
    <n v="59"/>
    <n v="60.33"/>
    <s v="Pass"/>
  </r>
  <r>
    <s v="S016"/>
    <s v="Male"/>
    <x v="4"/>
    <n v="69"/>
    <n v="61"/>
    <n v="58"/>
    <n v="63"/>
    <n v="60.67"/>
    <s v="Pass"/>
  </r>
  <r>
    <s v="S028"/>
    <s v="Male"/>
    <x v="0"/>
    <n v="66"/>
    <n v="59"/>
    <n v="63"/>
    <n v="60"/>
    <n v="60.67"/>
    <s v="Pass"/>
  </r>
  <r>
    <s v="S054"/>
    <s v="Male"/>
    <x v="2"/>
    <n v="69"/>
    <n v="61"/>
    <n v="63"/>
    <n v="60"/>
    <n v="61.33"/>
    <s v="Pass"/>
  </r>
  <r>
    <s v="S046"/>
    <s v="Male"/>
    <x v="4"/>
    <n v="68"/>
    <n v="62"/>
    <n v="59"/>
    <n v="64"/>
    <n v="61.67"/>
    <s v="Pass"/>
  </r>
  <r>
    <s v="S084"/>
    <s v="Male"/>
    <x v="2"/>
    <n v="71"/>
    <n v="64"/>
    <n v="66"/>
    <n v="63"/>
    <n v="64.33"/>
    <s v="Pass"/>
  </r>
  <r>
    <s v="S038"/>
    <s v="Male"/>
    <x v="0"/>
    <n v="70"/>
    <n v="63"/>
    <n v="65"/>
    <n v="67"/>
    <n v="65"/>
    <s v="Pass"/>
  </r>
  <r>
    <s v="S030"/>
    <s v="Male"/>
    <x v="1"/>
    <n v="71"/>
    <n v="64"/>
    <n v="67"/>
    <n v="65"/>
    <n v="65.33"/>
    <s v="Pass"/>
  </r>
  <r>
    <s v="S074"/>
    <s v="Male"/>
    <x v="2"/>
    <n v="70"/>
    <n v="63"/>
    <n v="65"/>
    <n v="68"/>
    <n v="65.33"/>
    <s v="Pass"/>
  </r>
  <r>
    <s v="S014"/>
    <s v="Male"/>
    <x v="2"/>
    <n v="72"/>
    <n v="66"/>
    <n v="64"/>
    <n v="68"/>
    <n v="66"/>
    <s v="Pass"/>
  </r>
  <r>
    <s v="S058"/>
    <s v="Male"/>
    <x v="0"/>
    <n v="72"/>
    <n v="65"/>
    <n v="68"/>
    <n v="70"/>
    <n v="67.67"/>
    <s v="Pass"/>
  </r>
  <r>
    <s v="S006"/>
    <s v="Male"/>
    <x v="4"/>
    <n v="73"/>
    <n v="65"/>
    <n v="71"/>
    <n v="69"/>
    <n v="68.33"/>
    <s v="Pass"/>
  </r>
  <r>
    <s v="S066"/>
    <s v="Male"/>
    <x v="4"/>
    <n v="73"/>
    <n v="66"/>
    <n v="69"/>
    <n v="71"/>
    <n v="68.67"/>
    <s v="Pass"/>
  </r>
  <r>
    <s v="S044"/>
    <s v="Male"/>
    <x v="2"/>
    <n v="74"/>
    <n v="67"/>
    <n v="69"/>
    <n v="71"/>
    <n v="69"/>
    <s v="Pass"/>
  </r>
  <r>
    <s v="S086"/>
    <s v="Male"/>
    <x v="4"/>
    <n v="74"/>
    <n v="67"/>
    <n v="69"/>
    <n v="73"/>
    <n v="69.67"/>
    <s v="Pass"/>
  </r>
  <r>
    <s v="S076"/>
    <s v="Male"/>
    <x v="4"/>
    <n v="75"/>
    <n v="68"/>
    <n v="70"/>
    <n v="72"/>
    <n v="70"/>
    <s v="Pass"/>
  </r>
  <r>
    <s v="S022"/>
    <s v="Male"/>
    <x v="3"/>
    <n v="75"/>
    <n v="68"/>
    <n v="70"/>
    <n v="73"/>
    <n v="70.33"/>
    <s v="Pass"/>
  </r>
  <r>
    <s v="S010"/>
    <s v="Male"/>
    <x v="1"/>
    <n v="76"/>
    <n v="69"/>
    <n v="73"/>
    <n v="70"/>
    <n v="70.67"/>
    <s v="Pass"/>
  </r>
  <r>
    <s v="S052"/>
    <s v="Male"/>
    <x v="3"/>
    <n v="76"/>
    <n v="69"/>
    <n v="71"/>
    <n v="74"/>
    <n v="71.33"/>
    <s v="Pass"/>
  </r>
  <r>
    <s v="S002"/>
    <s v="Male"/>
    <x v="3"/>
    <n v="78"/>
    <n v="72"/>
    <n v="68"/>
    <n v="75"/>
    <n v="71.67"/>
    <s v="Pass"/>
  </r>
  <r>
    <s v="S036"/>
    <s v="Male"/>
    <x v="4"/>
    <n v="77"/>
    <n v="70"/>
    <n v="72"/>
    <n v="74"/>
    <n v="72"/>
    <s v="Pass"/>
  </r>
  <r>
    <s v="S092"/>
    <s v="Male"/>
    <x v="3"/>
    <n v="77"/>
    <n v="70"/>
    <n v="73"/>
    <n v="75"/>
    <n v="72.67"/>
    <s v="Pass"/>
  </r>
  <r>
    <s v="S026"/>
    <s v="Male"/>
    <x v="4"/>
    <n v="79"/>
    <n v="71"/>
    <n v="74"/>
    <n v="76"/>
    <n v="73.67"/>
    <s v="Pass"/>
  </r>
  <r>
    <s v="S049"/>
    <s v="Female"/>
    <x v="2"/>
    <n v="79"/>
    <n v="74"/>
    <n v="72"/>
    <n v="76"/>
    <n v="74"/>
    <s v="Pass"/>
  </r>
  <r>
    <s v="S062"/>
    <s v="Male"/>
    <x v="3"/>
    <n v="78"/>
    <n v="72"/>
    <n v="74"/>
    <n v="76"/>
    <n v="74"/>
    <s v="Pass"/>
  </r>
  <r>
    <s v="S082"/>
    <s v="Male"/>
    <x v="3"/>
    <n v="79"/>
    <n v="71"/>
    <n v="75"/>
    <n v="77"/>
    <n v="74.33"/>
    <s v="Pass"/>
  </r>
  <r>
    <s v="S056"/>
    <s v="Male"/>
    <x v="4"/>
    <n v="81"/>
    <n v="75"/>
    <n v="73"/>
    <n v="77"/>
    <n v="75"/>
    <s v="Pass"/>
  </r>
  <r>
    <s v="S042"/>
    <s v="Male"/>
    <x v="3"/>
    <n v="80"/>
    <n v="73"/>
    <n v="76"/>
    <n v="78"/>
    <n v="75.67"/>
    <s v="Pass"/>
  </r>
  <r>
    <s v="S068"/>
    <s v="Male"/>
    <x v="0"/>
    <n v="80"/>
    <n v="73"/>
    <n v="76"/>
    <n v="79"/>
    <n v="76"/>
    <s v="Pass"/>
  </r>
  <r>
    <s v="S096"/>
    <s v="Male"/>
    <x v="4"/>
    <n v="80"/>
    <n v="74"/>
    <n v="76"/>
    <n v="78"/>
    <n v="76"/>
    <s v="Pass"/>
  </r>
  <r>
    <s v="S018"/>
    <s v="Male"/>
    <x v="0"/>
    <n v="81"/>
    <n v="74"/>
    <n v="77"/>
    <n v="79"/>
    <n v="76.67"/>
    <s v="Pass"/>
  </r>
  <r>
    <s v="S015"/>
    <s v="Female"/>
    <x v="1"/>
    <n v="83"/>
    <n v="75"/>
    <n v="78"/>
    <n v="80"/>
    <n v="77.67"/>
    <s v="Pass"/>
  </r>
  <r>
    <s v="S032"/>
    <s v="Male"/>
    <x v="3"/>
    <n v="82"/>
    <n v="78"/>
    <n v="75"/>
    <n v="81"/>
    <n v="78"/>
    <s v="Pass"/>
  </r>
  <r>
    <s v="S078"/>
    <s v="Male"/>
    <x v="0"/>
    <n v="82"/>
    <n v="76"/>
    <n v="78"/>
    <n v="80"/>
    <n v="78"/>
    <s v="Pass"/>
  </r>
  <r>
    <s v="S029"/>
    <s v="Female"/>
    <x v="2"/>
    <n v="87"/>
    <n v="76"/>
    <n v="81"/>
    <n v="78"/>
    <n v="78.33"/>
    <s v="Pass"/>
  </r>
  <r>
    <s v="S005"/>
    <s v="Female"/>
    <x v="1"/>
    <n v="84"/>
    <n v="79"/>
    <n v="81"/>
    <n v="77"/>
    <n v="79"/>
    <s v="Pass"/>
  </r>
  <r>
    <s v="S089"/>
    <s v="Female"/>
    <x v="2"/>
    <n v="83"/>
    <n v="77"/>
    <n v="79"/>
    <n v="81"/>
    <n v="79"/>
    <s v="Pass"/>
  </r>
  <r>
    <s v="S048"/>
    <s v="Male"/>
    <x v="0"/>
    <n v="83"/>
    <n v="77"/>
    <n v="79"/>
    <n v="82"/>
    <n v="79.33"/>
    <s v="Pass"/>
  </r>
  <r>
    <s v="S039"/>
    <s v="Female"/>
    <x v="2"/>
    <n v="84"/>
    <n v="79"/>
    <n v="77"/>
    <n v="83"/>
    <n v="79.67"/>
    <s v="Pass"/>
  </r>
  <r>
    <s v="S088"/>
    <s v="Male"/>
    <x v="0"/>
    <n v="85"/>
    <n v="78"/>
    <n v="80"/>
    <n v="82"/>
    <n v="80"/>
    <s v="Pass"/>
  </r>
  <r>
    <s v="S065"/>
    <s v="Female"/>
    <x v="1"/>
    <n v="85"/>
    <n v="80"/>
    <n v="78"/>
    <n v="83"/>
    <n v="80.33"/>
    <s v="Pass"/>
  </r>
  <r>
    <s v="S072"/>
    <s v="Male"/>
    <x v="3"/>
    <n v="84"/>
    <n v="77"/>
    <n v="81"/>
    <n v="83"/>
    <n v="80.33"/>
    <s v="Pass"/>
  </r>
  <r>
    <s v="S025"/>
    <s v="Female"/>
    <x v="1"/>
    <n v="85"/>
    <n v="83"/>
    <n v="79"/>
    <n v="82"/>
    <n v="81.33"/>
    <s v="Pass"/>
  </r>
  <r>
    <s v="S098"/>
    <s v="Male"/>
    <x v="0"/>
    <n v="86"/>
    <n v="79"/>
    <n v="82"/>
    <n v="84"/>
    <n v="81.67"/>
    <s v="Pass"/>
  </r>
  <r>
    <s v="S011"/>
    <s v="Female"/>
    <x v="4"/>
    <n v="88"/>
    <n v="82"/>
    <n v="79"/>
    <n v="85"/>
    <n v="82"/>
    <s v="Pass"/>
  </r>
  <r>
    <s v="S019"/>
    <s v="Female"/>
    <x v="2"/>
    <n v="86"/>
    <n v="80"/>
    <n v="82"/>
    <n v="84"/>
    <n v="82"/>
    <s v="Pass"/>
  </r>
  <r>
    <s v="S055"/>
    <s v="Female"/>
    <x v="1"/>
    <n v="86"/>
    <n v="82"/>
    <n v="80"/>
    <n v="84"/>
    <n v="82"/>
    <s v="Pass"/>
  </r>
  <r>
    <s v="S069"/>
    <s v="Female"/>
    <x v="2"/>
    <n v="88"/>
    <n v="82"/>
    <n v="80"/>
    <n v="85"/>
    <n v="82.33"/>
    <s v="Pass"/>
  </r>
  <r>
    <s v="S001"/>
    <s v="Female"/>
    <x v="4"/>
    <n v="92"/>
    <n v="85"/>
    <n v="78"/>
    <n v="88"/>
    <n v="83.67"/>
    <s v="Pass"/>
  </r>
  <r>
    <s v="S075"/>
    <s v="Female"/>
    <x v="1"/>
    <n v="87"/>
    <n v="81"/>
    <n v="84"/>
    <n v="86"/>
    <n v="83.67"/>
    <s v="Pass"/>
  </r>
  <r>
    <s v="S099"/>
    <s v="Female"/>
    <x v="2"/>
    <n v="88"/>
    <n v="83"/>
    <n v="81"/>
    <n v="87"/>
    <n v="83.67"/>
    <s v="Pass"/>
  </r>
  <r>
    <s v="S045"/>
    <s v="Female"/>
    <x v="1"/>
    <n v="88"/>
    <n v="81"/>
    <n v="85"/>
    <n v="86"/>
    <n v="84"/>
    <s v="Pass"/>
  </r>
  <r>
    <s v="S059"/>
    <s v="Female"/>
    <x v="2"/>
    <n v="89"/>
    <n v="84"/>
    <n v="86"/>
    <n v="87"/>
    <n v="85.67"/>
    <s v="Pass"/>
  </r>
  <r>
    <s v="S085"/>
    <s v="Female"/>
    <x v="1"/>
    <n v="89"/>
    <n v="83"/>
    <n v="86"/>
    <n v="88"/>
    <n v="85.67"/>
    <s v="Pass"/>
  </r>
  <r>
    <s v="S035"/>
    <s v="Female"/>
    <x v="1"/>
    <n v="91"/>
    <n v="88"/>
    <n v="84"/>
    <n v="87"/>
    <n v="86.33"/>
    <s v="Pass"/>
  </r>
  <r>
    <s v="S095"/>
    <s v="Female"/>
    <x v="1"/>
    <n v="90"/>
    <n v="86"/>
    <n v="84"/>
    <n v="89"/>
    <n v="86.33"/>
    <s v="Pass"/>
  </r>
  <r>
    <s v="S051"/>
    <s v="Female"/>
    <x v="4"/>
    <n v="90"/>
    <n v="87"/>
    <n v="85"/>
    <n v="88"/>
    <n v="86.67"/>
    <s v="Pass"/>
  </r>
  <r>
    <s v="S079"/>
    <s v="Female"/>
    <x v="2"/>
    <n v="90"/>
    <n v="85"/>
    <n v="87"/>
    <n v="89"/>
    <n v="87"/>
    <s v="Pass"/>
  </r>
  <r>
    <s v="S007"/>
    <s v="Female"/>
    <x v="3"/>
    <n v="89"/>
    <n v="88"/>
    <n v="84"/>
    <n v="91"/>
    <n v="87.67"/>
    <s v="Pass"/>
  </r>
  <r>
    <s v="S033"/>
    <s v="Female"/>
    <x v="0"/>
    <n v="89"/>
    <n v="85"/>
    <n v="88"/>
    <n v="90"/>
    <n v="87.67"/>
    <s v="Pass"/>
  </r>
  <r>
    <s v="S071"/>
    <s v="Female"/>
    <x v="4"/>
    <n v="91"/>
    <n v="86"/>
    <n v="88"/>
    <n v="90"/>
    <n v="88"/>
    <s v="Pass"/>
  </r>
  <r>
    <s v="S041"/>
    <s v="Female"/>
    <x v="4"/>
    <n v="92"/>
    <n v="86"/>
    <n v="89"/>
    <n v="91"/>
    <n v="88.67"/>
    <s v="Pass"/>
  </r>
  <r>
    <s v="S021"/>
    <s v="Female"/>
    <x v="4"/>
    <n v="94"/>
    <n v="89"/>
    <n v="87"/>
    <n v="91"/>
    <n v="89"/>
    <s v="Pass"/>
  </r>
  <r>
    <s v="S013"/>
    <s v="Female"/>
    <x v="0"/>
    <n v="91"/>
    <n v="87"/>
    <n v="90"/>
    <n v="92"/>
    <n v="89.67"/>
    <s v="Pass"/>
  </r>
  <r>
    <s v="S063"/>
    <s v="Female"/>
    <x v="0"/>
    <n v="92"/>
    <n v="88"/>
    <n v="91"/>
    <n v="90"/>
    <n v="89.67"/>
    <s v="Pass"/>
  </r>
  <r>
    <s v="S091"/>
    <s v="Female"/>
    <x v="4"/>
    <n v="92"/>
    <n v="88"/>
    <n v="90"/>
    <n v="91"/>
    <n v="89.67"/>
    <s v="Pass"/>
  </r>
  <r>
    <s v="S027"/>
    <s v="Female"/>
    <x v="3"/>
    <n v="93"/>
    <n v="90"/>
    <n v="92"/>
    <n v="89"/>
    <n v="90.33"/>
    <s v="Pass"/>
  </r>
  <r>
    <s v="S081"/>
    <s v="Female"/>
    <x v="4"/>
    <n v="93"/>
    <n v="89"/>
    <n v="90"/>
    <n v="92"/>
    <n v="90.33"/>
    <s v="Pass"/>
  </r>
  <r>
    <s v="S003"/>
    <s v="Female"/>
    <x v="0"/>
    <n v="95"/>
    <n v="91"/>
    <n v="88"/>
    <n v="93"/>
    <n v="90.67"/>
    <s v="Pass"/>
  </r>
  <r>
    <s v="S047"/>
    <s v="Female"/>
    <x v="3"/>
    <n v="94"/>
    <n v="89"/>
    <n v="91"/>
    <n v="92"/>
    <n v="90.67"/>
    <s v="Pass"/>
  </r>
  <r>
    <s v="S023"/>
    <s v="Female"/>
    <x v="0"/>
    <n v="90"/>
    <n v="92"/>
    <n v="86"/>
    <n v="95"/>
    <n v="91"/>
    <s v="Pass"/>
  </r>
  <r>
    <s v="S009"/>
    <s v="Female"/>
    <x v="2"/>
    <n v="96"/>
    <n v="94"/>
    <n v="91"/>
    <n v="89"/>
    <n v="91.33"/>
    <s v="Pass"/>
  </r>
  <r>
    <s v="S057"/>
    <s v="Female"/>
    <x v="3"/>
    <n v="93"/>
    <n v="91"/>
    <n v="89"/>
    <n v="94"/>
    <n v="91.33"/>
    <s v="Pass"/>
  </r>
  <r>
    <s v="S061"/>
    <s v="Female"/>
    <x v="4"/>
    <n v="95"/>
    <n v="90"/>
    <n v="92"/>
    <n v="93"/>
    <n v="91.67"/>
    <s v="Pass"/>
  </r>
  <r>
    <s v="S077"/>
    <s v="Female"/>
    <x v="3"/>
    <n v="94"/>
    <n v="90"/>
    <n v="92"/>
    <n v="93"/>
    <n v="91.67"/>
    <s v="Pass"/>
  </r>
  <r>
    <s v="S037"/>
    <s v="Female"/>
    <x v="3"/>
    <n v="95"/>
    <n v="92"/>
    <n v="90"/>
    <n v="94"/>
    <n v="92"/>
    <s v="Pass"/>
  </r>
  <r>
    <s v="S087"/>
    <s v="Female"/>
    <x v="3"/>
    <n v="96"/>
    <n v="91"/>
    <n v="93"/>
    <n v="95"/>
    <n v="93"/>
    <s v="Pass"/>
  </r>
  <r>
    <s v="S073"/>
    <s v="Female"/>
    <x v="0"/>
    <n v="96"/>
    <n v="92"/>
    <n v="94"/>
    <n v="95"/>
    <n v="93.67"/>
    <s v="Pass"/>
  </r>
  <r>
    <s v="S093"/>
    <s v="Female"/>
    <x v="0"/>
    <n v="95"/>
    <n v="93"/>
    <n v="92"/>
    <n v="96"/>
    <n v="93.67"/>
    <s v="Pass"/>
  </r>
  <r>
    <s v="S017"/>
    <s v="Female"/>
    <x v="3"/>
    <n v="97"/>
    <n v="93"/>
    <n v="95"/>
    <n v="94"/>
    <n v="94"/>
    <s v="Pass"/>
  </r>
  <r>
    <s v="S043"/>
    <s v="Female"/>
    <x v="0"/>
    <n v="96"/>
    <n v="94"/>
    <n v="93"/>
    <n v="95"/>
    <n v="94"/>
    <s v="Pass"/>
  </r>
  <r>
    <s v="S067"/>
    <s v="Female"/>
    <x v="3"/>
    <n v="97"/>
    <n v="94"/>
    <n v="93"/>
    <n v="96"/>
    <n v="94.33"/>
    <s v="Pass"/>
  </r>
  <r>
    <s v="S031"/>
    <s v="Female"/>
    <x v="4"/>
    <n v="98"/>
    <n v="95"/>
    <n v="94"/>
    <n v="96"/>
    <n v="95"/>
    <s v="Pass"/>
  </r>
  <r>
    <s v="S097"/>
    <s v="Female"/>
    <x v="3"/>
    <n v="97"/>
    <n v="94"/>
    <n v="95"/>
    <n v="96"/>
    <n v="95"/>
    <s v="Pass"/>
  </r>
  <r>
    <s v="S083"/>
    <s v="Female"/>
    <x v="0"/>
    <n v="98"/>
    <n v="95"/>
    <n v="94"/>
    <n v="97"/>
    <n v="95.33"/>
    <s v="Pass"/>
  </r>
  <r>
    <s v="S053"/>
    <s v="Female"/>
    <x v="0"/>
    <n v="99"/>
    <n v="96"/>
    <n v="95"/>
    <n v="98"/>
    <n v="96.33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513F1-908B-4456-B4BA-2D3274D269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9" firstHeaderRow="0" firstDataRow="1" firstDataCol="1"/>
  <pivotFields count="9">
    <pivotField dataField="1"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numFmtId="1" showAll="0"/>
    <pivotField numFmtId="1" showAll="0"/>
    <pivotField numFmtId="1" showAll="0"/>
    <pivotField numFmtId="1" showAll="0"/>
    <pivotField dataField="1"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Score" fld="7" subtotal="average" baseField="0" baseItem="0" numFmtId="2"/>
    <dataField name="Count of Student_ID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F386-8757-4D83-B149-6D94B18733AE}">
  <dimension ref="A1:B7"/>
  <sheetViews>
    <sheetView tabSelected="1" zoomScale="131" workbookViewId="0">
      <selection activeCell="I35" sqref="I35"/>
    </sheetView>
  </sheetViews>
  <sheetFormatPr defaultRowHeight="14.4" x14ac:dyDescent="0.3"/>
  <cols>
    <col min="1" max="1" width="56.109375" customWidth="1"/>
  </cols>
  <sheetData>
    <row r="1" spans="1:2" ht="23.4" x14ac:dyDescent="0.45">
      <c r="A1" s="12" t="s">
        <v>134</v>
      </c>
    </row>
    <row r="2" spans="1:2" x14ac:dyDescent="0.3">
      <c r="A2" t="s">
        <v>135</v>
      </c>
    </row>
    <row r="4" spans="1:2" x14ac:dyDescent="0.3">
      <c r="A4" t="s">
        <v>136</v>
      </c>
      <c r="B4">
        <f>COUNTA(Sheet1!A2:A101)</f>
        <v>100</v>
      </c>
    </row>
    <row r="5" spans="1:2" x14ac:dyDescent="0.3">
      <c r="A5" t="s">
        <v>137</v>
      </c>
      <c r="B5" s="3">
        <f>AVERAGE(Sheet1!H2:H101)</f>
        <v>77.233700000000013</v>
      </c>
    </row>
    <row r="6" spans="1:2" x14ac:dyDescent="0.3">
      <c r="A6" t="s">
        <v>124</v>
      </c>
      <c r="B6">
        <f>COUNTIF(Sheet1!I2:I101,"Pass")</f>
        <v>100</v>
      </c>
    </row>
    <row r="7" spans="1:2" x14ac:dyDescent="0.3">
      <c r="A7" t="s">
        <v>126</v>
      </c>
      <c r="B7" s="13">
        <f>COUNTIF(Sheet1!I2:I101,"Pass")/COUNTA(Sheet1!A2:A101)</f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1B62-79BB-4A29-BD73-BF51BB46F3AF}">
  <dimension ref="A3:C22"/>
  <sheetViews>
    <sheetView zoomScale="106" workbookViewId="0">
      <selection activeCell="L39" sqref="L39"/>
    </sheetView>
  </sheetViews>
  <sheetFormatPr defaultRowHeight="14.4" x14ac:dyDescent="0.3"/>
  <cols>
    <col min="1" max="1" width="20.77734375" bestFit="1" customWidth="1"/>
    <col min="2" max="2" width="27.5546875" customWidth="1"/>
    <col min="3" max="3" width="18.44140625" bestFit="1" customWidth="1"/>
  </cols>
  <sheetData>
    <row r="3" spans="1:3" x14ac:dyDescent="0.3">
      <c r="A3" s="9" t="s">
        <v>127</v>
      </c>
      <c r="B3" t="s">
        <v>129</v>
      </c>
      <c r="C3" t="s">
        <v>130</v>
      </c>
    </row>
    <row r="4" spans="1:3" x14ac:dyDescent="0.3">
      <c r="A4" s="10" t="s">
        <v>20</v>
      </c>
      <c r="B4" s="3">
        <v>70.833500000000001</v>
      </c>
      <c r="C4">
        <v>20</v>
      </c>
    </row>
    <row r="5" spans="1:3" x14ac:dyDescent="0.3">
      <c r="A5" s="10" t="s">
        <v>18</v>
      </c>
      <c r="B5" s="3">
        <v>72.032499999999999</v>
      </c>
      <c r="C5">
        <v>20</v>
      </c>
    </row>
    <row r="6" spans="1:3" x14ac:dyDescent="0.3">
      <c r="A6" s="10" t="s">
        <v>14</v>
      </c>
      <c r="B6" s="3">
        <v>82.366500000000002</v>
      </c>
      <c r="C6">
        <v>20</v>
      </c>
    </row>
    <row r="7" spans="1:3" x14ac:dyDescent="0.3">
      <c r="A7" s="10" t="s">
        <v>16</v>
      </c>
      <c r="B7" s="3">
        <v>81.917999999999992</v>
      </c>
      <c r="C7">
        <v>20</v>
      </c>
    </row>
    <row r="8" spans="1:3" x14ac:dyDescent="0.3">
      <c r="A8" s="10" t="s">
        <v>11</v>
      </c>
      <c r="B8" s="3">
        <v>79.018000000000001</v>
      </c>
      <c r="C8">
        <v>20</v>
      </c>
    </row>
    <row r="9" spans="1:3" x14ac:dyDescent="0.3">
      <c r="A9" s="10" t="s">
        <v>128</v>
      </c>
      <c r="B9" s="3">
        <v>77.233700000000013</v>
      </c>
      <c r="C9">
        <v>100</v>
      </c>
    </row>
    <row r="20" spans="1:2" x14ac:dyDescent="0.3">
      <c r="A20" s="11" t="s">
        <v>8</v>
      </c>
      <c r="B20" s="11" t="s">
        <v>131</v>
      </c>
    </row>
    <row r="21" spans="1:2" x14ac:dyDescent="0.3">
      <c r="A21" t="s">
        <v>132</v>
      </c>
      <c r="B21">
        <f>COUNTIF(Sheet1!I2:I101,"Pass")</f>
        <v>100</v>
      </c>
    </row>
    <row r="22" spans="1:2" x14ac:dyDescent="0.3">
      <c r="A22" t="s">
        <v>133</v>
      </c>
      <c r="B22">
        <f>COUNTIF(Sheet1!I2:I101,"Fail")</f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1"/>
  <sheetViews>
    <sheetView workbookViewId="0">
      <pane ySplit="1" topLeftCell="A84" activePane="bottomLeft" state="frozen"/>
      <selection pane="bottomLeft" activeCell="B24" sqref="A1:I101"/>
    </sheetView>
  </sheetViews>
  <sheetFormatPr defaultRowHeight="14.4" x14ac:dyDescent="0.3"/>
  <cols>
    <col min="1" max="1" width="13" customWidth="1"/>
    <col min="2" max="2" width="12" customWidth="1"/>
    <col min="3" max="3" width="25" customWidth="1"/>
    <col min="4" max="4" width="13" customWidth="1"/>
    <col min="5" max="5" width="19" customWidth="1"/>
    <col min="6" max="6" width="16" customWidth="1"/>
    <col min="7" max="7" width="14" customWidth="1"/>
    <col min="8" max="8" width="13" customWidth="1"/>
    <col min="9" max="9" width="1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23</v>
      </c>
      <c r="B2" t="s">
        <v>13</v>
      </c>
      <c r="C2" t="s">
        <v>16</v>
      </c>
      <c r="D2" s="2">
        <v>61</v>
      </c>
      <c r="E2" s="2">
        <v>52</v>
      </c>
      <c r="F2" s="2">
        <v>48</v>
      </c>
      <c r="G2" s="2">
        <v>55</v>
      </c>
      <c r="H2" s="3">
        <f t="shared" ref="H2:H33" si="0">ROUND(AVERAGE(E2:G2),2)</f>
        <v>51.67</v>
      </c>
      <c r="I2" t="str">
        <f t="shared" ref="I2:I33" si="1">IF(H2&gt;=50,"Pass","Fail")</f>
        <v>Pass</v>
      </c>
    </row>
    <row r="3" spans="1:9" x14ac:dyDescent="0.3">
      <c r="A3" t="s">
        <v>65</v>
      </c>
      <c r="B3" t="s">
        <v>13</v>
      </c>
      <c r="C3" t="s">
        <v>20</v>
      </c>
      <c r="D3" s="2">
        <v>60</v>
      </c>
      <c r="E3" s="2">
        <v>51</v>
      </c>
      <c r="F3" s="2">
        <v>55</v>
      </c>
      <c r="G3" s="2">
        <v>53</v>
      </c>
      <c r="H3" s="3">
        <f t="shared" si="0"/>
        <v>53</v>
      </c>
      <c r="I3" t="str">
        <f t="shared" si="1"/>
        <v>Pass</v>
      </c>
    </row>
    <row r="4" spans="1:9" x14ac:dyDescent="0.3">
      <c r="A4" t="s">
        <v>49</v>
      </c>
      <c r="B4" t="s">
        <v>13</v>
      </c>
      <c r="C4" t="s">
        <v>18</v>
      </c>
      <c r="D4" s="2">
        <v>62</v>
      </c>
      <c r="E4" s="2">
        <v>54</v>
      </c>
      <c r="F4" s="2">
        <v>56</v>
      </c>
      <c r="G4" s="2">
        <v>52</v>
      </c>
      <c r="H4" s="3">
        <f t="shared" si="0"/>
        <v>54</v>
      </c>
      <c r="I4" t="str">
        <f t="shared" si="1"/>
        <v>Pass</v>
      </c>
    </row>
    <row r="5" spans="1:9" x14ac:dyDescent="0.3">
      <c r="A5" t="s">
        <v>35</v>
      </c>
      <c r="B5" t="s">
        <v>13</v>
      </c>
      <c r="C5" t="s">
        <v>20</v>
      </c>
      <c r="D5" s="2">
        <v>63</v>
      </c>
      <c r="E5" s="2">
        <v>55</v>
      </c>
      <c r="F5" s="2">
        <v>52</v>
      </c>
      <c r="G5" s="2">
        <v>58</v>
      </c>
      <c r="H5" s="3">
        <f t="shared" si="0"/>
        <v>55</v>
      </c>
      <c r="I5" t="str">
        <f t="shared" si="1"/>
        <v>Pass</v>
      </c>
    </row>
    <row r="6" spans="1:9" x14ac:dyDescent="0.3">
      <c r="A6" t="s">
        <v>85</v>
      </c>
      <c r="B6" t="s">
        <v>13</v>
      </c>
      <c r="C6" t="s">
        <v>20</v>
      </c>
      <c r="D6" s="2">
        <v>61</v>
      </c>
      <c r="E6" s="2">
        <v>53</v>
      </c>
      <c r="F6" s="2">
        <v>57</v>
      </c>
      <c r="G6" s="2">
        <v>55</v>
      </c>
      <c r="H6" s="3">
        <f t="shared" si="0"/>
        <v>55</v>
      </c>
      <c r="I6" t="str">
        <f t="shared" si="1"/>
        <v>Pass</v>
      </c>
    </row>
    <row r="7" spans="1:9" x14ac:dyDescent="0.3">
      <c r="A7" t="s">
        <v>105</v>
      </c>
      <c r="B7" t="s">
        <v>13</v>
      </c>
      <c r="C7" t="s">
        <v>20</v>
      </c>
      <c r="D7" s="2">
        <v>63</v>
      </c>
      <c r="E7" s="2">
        <v>55</v>
      </c>
      <c r="F7" s="2">
        <v>58</v>
      </c>
      <c r="G7" s="2">
        <v>57</v>
      </c>
      <c r="H7" s="3">
        <f t="shared" si="0"/>
        <v>56.67</v>
      </c>
      <c r="I7" t="str">
        <f t="shared" si="1"/>
        <v>Pass</v>
      </c>
    </row>
    <row r="8" spans="1:9" x14ac:dyDescent="0.3">
      <c r="A8" t="s">
        <v>115</v>
      </c>
      <c r="B8" t="s">
        <v>13</v>
      </c>
      <c r="C8" t="s">
        <v>20</v>
      </c>
      <c r="D8" s="2">
        <v>65</v>
      </c>
      <c r="E8" s="2">
        <v>57</v>
      </c>
      <c r="F8" s="2">
        <v>60</v>
      </c>
      <c r="G8" s="2">
        <v>56</v>
      </c>
      <c r="H8" s="3">
        <f t="shared" si="0"/>
        <v>57.67</v>
      </c>
      <c r="I8" t="str">
        <f t="shared" si="1"/>
        <v>Pass</v>
      </c>
    </row>
    <row r="9" spans="1:9" x14ac:dyDescent="0.3">
      <c r="A9" t="s">
        <v>17</v>
      </c>
      <c r="B9" t="s">
        <v>13</v>
      </c>
      <c r="C9" t="s">
        <v>18</v>
      </c>
      <c r="D9" s="2">
        <v>67</v>
      </c>
      <c r="E9" s="2">
        <v>58</v>
      </c>
      <c r="F9" s="2">
        <v>62</v>
      </c>
      <c r="G9" s="2">
        <v>55</v>
      </c>
      <c r="H9" s="3">
        <f t="shared" si="0"/>
        <v>58.33</v>
      </c>
      <c r="I9" t="str">
        <f t="shared" si="1"/>
        <v>Pass</v>
      </c>
    </row>
    <row r="10" spans="1:9" x14ac:dyDescent="0.3">
      <c r="A10" t="s">
        <v>55</v>
      </c>
      <c r="B10" t="s">
        <v>13</v>
      </c>
      <c r="C10" t="s">
        <v>20</v>
      </c>
      <c r="D10" s="2">
        <v>65</v>
      </c>
      <c r="E10" s="2">
        <v>58</v>
      </c>
      <c r="F10" s="2">
        <v>60</v>
      </c>
      <c r="G10" s="2">
        <v>57</v>
      </c>
      <c r="H10" s="3">
        <f t="shared" si="0"/>
        <v>58.33</v>
      </c>
      <c r="I10" t="str">
        <f t="shared" si="1"/>
        <v>Pass</v>
      </c>
    </row>
    <row r="11" spans="1:9" x14ac:dyDescent="0.3">
      <c r="A11" t="s">
        <v>75</v>
      </c>
      <c r="B11" t="s">
        <v>13</v>
      </c>
      <c r="C11" t="s">
        <v>20</v>
      </c>
      <c r="D11" s="2">
        <v>64</v>
      </c>
      <c r="E11" s="2">
        <v>56</v>
      </c>
      <c r="F11" s="2">
        <v>59</v>
      </c>
      <c r="G11" s="2">
        <v>61</v>
      </c>
      <c r="H11" s="3">
        <f t="shared" si="0"/>
        <v>58.67</v>
      </c>
      <c r="I11" t="str">
        <f t="shared" si="1"/>
        <v>Pass</v>
      </c>
    </row>
    <row r="12" spans="1:9" x14ac:dyDescent="0.3">
      <c r="A12" t="s">
        <v>27</v>
      </c>
      <c r="B12" t="s">
        <v>13</v>
      </c>
      <c r="C12" t="s">
        <v>14</v>
      </c>
      <c r="D12" s="2">
        <v>64</v>
      </c>
      <c r="E12" s="2">
        <v>57</v>
      </c>
      <c r="F12" s="2">
        <v>61</v>
      </c>
      <c r="G12" s="2">
        <v>59</v>
      </c>
      <c r="H12" s="3">
        <f t="shared" si="0"/>
        <v>59</v>
      </c>
      <c r="I12" t="str">
        <f t="shared" si="1"/>
        <v>Pass</v>
      </c>
    </row>
    <row r="13" spans="1:9" x14ac:dyDescent="0.3">
      <c r="A13" t="s">
        <v>79</v>
      </c>
      <c r="B13" t="s">
        <v>13</v>
      </c>
      <c r="C13" t="s">
        <v>18</v>
      </c>
      <c r="D13" s="2">
        <v>67</v>
      </c>
      <c r="E13" s="2">
        <v>59</v>
      </c>
      <c r="F13" s="2">
        <v>61</v>
      </c>
      <c r="G13" s="2">
        <v>58</v>
      </c>
      <c r="H13" s="3">
        <f t="shared" si="0"/>
        <v>59.33</v>
      </c>
      <c r="I13" t="str">
        <f t="shared" si="1"/>
        <v>Pass</v>
      </c>
    </row>
    <row r="14" spans="1:9" x14ac:dyDescent="0.3">
      <c r="A14" t="s">
        <v>39</v>
      </c>
      <c r="B14" t="s">
        <v>13</v>
      </c>
      <c r="C14" t="s">
        <v>18</v>
      </c>
      <c r="D14" s="2">
        <v>68</v>
      </c>
      <c r="E14" s="2">
        <v>60</v>
      </c>
      <c r="F14" s="2">
        <v>57</v>
      </c>
      <c r="G14" s="2">
        <v>62</v>
      </c>
      <c r="H14" s="3">
        <f t="shared" si="0"/>
        <v>59.67</v>
      </c>
      <c r="I14" t="str">
        <f t="shared" si="1"/>
        <v>Pass</v>
      </c>
    </row>
    <row r="15" spans="1:9" x14ac:dyDescent="0.3">
      <c r="A15" t="s">
        <v>95</v>
      </c>
      <c r="B15" t="s">
        <v>13</v>
      </c>
      <c r="C15" t="s">
        <v>20</v>
      </c>
      <c r="D15" s="2">
        <v>66</v>
      </c>
      <c r="E15" s="2">
        <v>58</v>
      </c>
      <c r="F15" s="2">
        <v>62</v>
      </c>
      <c r="G15" s="2">
        <v>60</v>
      </c>
      <c r="H15" s="3">
        <f t="shared" si="0"/>
        <v>60</v>
      </c>
      <c r="I15" t="str">
        <f t="shared" si="1"/>
        <v>Pass</v>
      </c>
    </row>
    <row r="16" spans="1:9" x14ac:dyDescent="0.3">
      <c r="A16" t="s">
        <v>109</v>
      </c>
      <c r="B16" t="s">
        <v>13</v>
      </c>
      <c r="C16" t="s">
        <v>18</v>
      </c>
      <c r="D16" s="2">
        <v>68</v>
      </c>
      <c r="E16" s="2">
        <v>60</v>
      </c>
      <c r="F16" s="2">
        <v>62</v>
      </c>
      <c r="G16" s="2">
        <v>59</v>
      </c>
      <c r="H16" s="3">
        <f t="shared" si="0"/>
        <v>60.33</v>
      </c>
      <c r="I16" t="str">
        <f t="shared" si="1"/>
        <v>Pass</v>
      </c>
    </row>
    <row r="17" spans="1:9" x14ac:dyDescent="0.3">
      <c r="A17" t="s">
        <v>31</v>
      </c>
      <c r="B17" t="s">
        <v>13</v>
      </c>
      <c r="C17" t="s">
        <v>11</v>
      </c>
      <c r="D17" s="2">
        <v>69</v>
      </c>
      <c r="E17" s="2">
        <v>61</v>
      </c>
      <c r="F17" s="2">
        <v>58</v>
      </c>
      <c r="G17" s="2">
        <v>63</v>
      </c>
      <c r="H17" s="3">
        <f t="shared" si="0"/>
        <v>60.67</v>
      </c>
      <c r="I17" t="str">
        <f t="shared" si="1"/>
        <v>Pass</v>
      </c>
    </row>
    <row r="18" spans="1:9" x14ac:dyDescent="0.3">
      <c r="A18" t="s">
        <v>43</v>
      </c>
      <c r="B18" t="s">
        <v>13</v>
      </c>
      <c r="C18" t="s">
        <v>16</v>
      </c>
      <c r="D18" s="2">
        <v>66</v>
      </c>
      <c r="E18" s="2">
        <v>59</v>
      </c>
      <c r="F18" s="2">
        <v>63</v>
      </c>
      <c r="G18" s="2">
        <v>60</v>
      </c>
      <c r="H18" s="3">
        <f t="shared" si="0"/>
        <v>60.67</v>
      </c>
      <c r="I18" t="str">
        <f t="shared" si="1"/>
        <v>Pass</v>
      </c>
    </row>
    <row r="19" spans="1:9" x14ac:dyDescent="0.3">
      <c r="A19" t="s">
        <v>69</v>
      </c>
      <c r="B19" t="s">
        <v>13</v>
      </c>
      <c r="C19" t="s">
        <v>18</v>
      </c>
      <c r="D19" s="2">
        <v>69</v>
      </c>
      <c r="E19" s="2">
        <v>61</v>
      </c>
      <c r="F19" s="2">
        <v>63</v>
      </c>
      <c r="G19" s="2">
        <v>60</v>
      </c>
      <c r="H19" s="3">
        <f t="shared" si="0"/>
        <v>61.33</v>
      </c>
      <c r="I19" t="str">
        <f t="shared" si="1"/>
        <v>Pass</v>
      </c>
    </row>
    <row r="20" spans="1:9" x14ac:dyDescent="0.3">
      <c r="A20" t="s">
        <v>61</v>
      </c>
      <c r="B20" t="s">
        <v>13</v>
      </c>
      <c r="C20" t="s">
        <v>11</v>
      </c>
      <c r="D20" s="2">
        <v>68</v>
      </c>
      <c r="E20" s="2">
        <v>62</v>
      </c>
      <c r="F20" s="2">
        <v>59</v>
      </c>
      <c r="G20" s="2">
        <v>64</v>
      </c>
      <c r="H20" s="3">
        <f t="shared" si="0"/>
        <v>61.67</v>
      </c>
      <c r="I20" t="str">
        <f t="shared" si="1"/>
        <v>Pass</v>
      </c>
    </row>
    <row r="21" spans="1:9" x14ac:dyDescent="0.3">
      <c r="A21" t="s">
        <v>99</v>
      </c>
      <c r="B21" t="s">
        <v>13</v>
      </c>
      <c r="C21" t="s">
        <v>18</v>
      </c>
      <c r="D21" s="2">
        <v>71</v>
      </c>
      <c r="E21" s="2">
        <v>64</v>
      </c>
      <c r="F21" s="2">
        <v>66</v>
      </c>
      <c r="G21" s="2">
        <v>63</v>
      </c>
      <c r="H21" s="3">
        <f t="shared" si="0"/>
        <v>64.33</v>
      </c>
      <c r="I21" t="str">
        <f t="shared" si="1"/>
        <v>Pass</v>
      </c>
    </row>
    <row r="22" spans="1:9" x14ac:dyDescent="0.3">
      <c r="A22" t="s">
        <v>53</v>
      </c>
      <c r="B22" t="s">
        <v>13</v>
      </c>
      <c r="C22" t="s">
        <v>16</v>
      </c>
      <c r="D22" s="2">
        <v>70</v>
      </c>
      <c r="E22" s="2">
        <v>63</v>
      </c>
      <c r="F22" s="2">
        <v>65</v>
      </c>
      <c r="G22" s="2">
        <v>67</v>
      </c>
      <c r="H22" s="3">
        <f t="shared" si="0"/>
        <v>65</v>
      </c>
      <c r="I22" t="str">
        <f t="shared" si="1"/>
        <v>Pass</v>
      </c>
    </row>
    <row r="23" spans="1:9" x14ac:dyDescent="0.3">
      <c r="A23" t="s">
        <v>45</v>
      </c>
      <c r="B23" t="s">
        <v>13</v>
      </c>
      <c r="C23" t="s">
        <v>20</v>
      </c>
      <c r="D23" s="2">
        <v>71</v>
      </c>
      <c r="E23" s="2">
        <v>64</v>
      </c>
      <c r="F23" s="2">
        <v>67</v>
      </c>
      <c r="G23" s="2">
        <v>65</v>
      </c>
      <c r="H23" s="3">
        <f t="shared" si="0"/>
        <v>65.33</v>
      </c>
      <c r="I23" t="str">
        <f t="shared" si="1"/>
        <v>Pass</v>
      </c>
    </row>
    <row r="24" spans="1:9" x14ac:dyDescent="0.3">
      <c r="A24" t="s">
        <v>89</v>
      </c>
      <c r="B24" t="s">
        <v>13</v>
      </c>
      <c r="C24" t="s">
        <v>18</v>
      </c>
      <c r="D24" s="2">
        <v>70</v>
      </c>
      <c r="E24" s="2">
        <v>63</v>
      </c>
      <c r="F24" s="2">
        <v>65</v>
      </c>
      <c r="G24" s="2">
        <v>68</v>
      </c>
      <c r="H24" s="3">
        <f t="shared" si="0"/>
        <v>65.33</v>
      </c>
      <c r="I24" t="str">
        <f t="shared" si="1"/>
        <v>Pass</v>
      </c>
    </row>
    <row r="25" spans="1:9" x14ac:dyDescent="0.3">
      <c r="A25" t="s">
        <v>29</v>
      </c>
      <c r="B25" t="s">
        <v>13</v>
      </c>
      <c r="C25" t="s">
        <v>18</v>
      </c>
      <c r="D25" s="2">
        <v>72</v>
      </c>
      <c r="E25" s="2">
        <v>66</v>
      </c>
      <c r="F25" s="2">
        <v>64</v>
      </c>
      <c r="G25" s="2">
        <v>68</v>
      </c>
      <c r="H25" s="3">
        <f t="shared" si="0"/>
        <v>66</v>
      </c>
      <c r="I25" t="str">
        <f t="shared" si="1"/>
        <v>Pass</v>
      </c>
    </row>
    <row r="26" spans="1:9" x14ac:dyDescent="0.3">
      <c r="A26" t="s">
        <v>73</v>
      </c>
      <c r="B26" t="s">
        <v>13</v>
      </c>
      <c r="C26" t="s">
        <v>16</v>
      </c>
      <c r="D26" s="2">
        <v>72</v>
      </c>
      <c r="E26" s="2">
        <v>65</v>
      </c>
      <c r="F26" s="2">
        <v>68</v>
      </c>
      <c r="G26" s="2">
        <v>70</v>
      </c>
      <c r="H26" s="3">
        <f t="shared" si="0"/>
        <v>67.67</v>
      </c>
      <c r="I26" t="str">
        <f t="shared" si="1"/>
        <v>Pass</v>
      </c>
    </row>
    <row r="27" spans="1:9" x14ac:dyDescent="0.3">
      <c r="A27" t="s">
        <v>21</v>
      </c>
      <c r="B27" t="s">
        <v>13</v>
      </c>
      <c r="C27" t="s">
        <v>11</v>
      </c>
      <c r="D27" s="2">
        <v>73</v>
      </c>
      <c r="E27" s="2">
        <v>65</v>
      </c>
      <c r="F27" s="2">
        <v>71</v>
      </c>
      <c r="G27" s="2">
        <v>69</v>
      </c>
      <c r="H27" s="3">
        <f t="shared" si="0"/>
        <v>68.33</v>
      </c>
      <c r="I27" t="str">
        <f t="shared" si="1"/>
        <v>Pass</v>
      </c>
    </row>
    <row r="28" spans="1:9" x14ac:dyDescent="0.3">
      <c r="A28" t="s">
        <v>81</v>
      </c>
      <c r="B28" t="s">
        <v>13</v>
      </c>
      <c r="C28" t="s">
        <v>11</v>
      </c>
      <c r="D28" s="2">
        <v>73</v>
      </c>
      <c r="E28" s="2">
        <v>66</v>
      </c>
      <c r="F28" s="2">
        <v>69</v>
      </c>
      <c r="G28" s="2">
        <v>71</v>
      </c>
      <c r="H28" s="3">
        <f t="shared" si="0"/>
        <v>68.67</v>
      </c>
      <c r="I28" t="str">
        <f t="shared" si="1"/>
        <v>Pass</v>
      </c>
    </row>
    <row r="29" spans="1:9" x14ac:dyDescent="0.3">
      <c r="A29" t="s">
        <v>59</v>
      </c>
      <c r="B29" t="s">
        <v>13</v>
      </c>
      <c r="C29" t="s">
        <v>18</v>
      </c>
      <c r="D29" s="2">
        <v>74</v>
      </c>
      <c r="E29" s="2">
        <v>67</v>
      </c>
      <c r="F29" s="2">
        <v>69</v>
      </c>
      <c r="G29" s="2">
        <v>71</v>
      </c>
      <c r="H29" s="3">
        <f t="shared" si="0"/>
        <v>69</v>
      </c>
      <c r="I29" t="str">
        <f t="shared" si="1"/>
        <v>Pass</v>
      </c>
    </row>
    <row r="30" spans="1:9" x14ac:dyDescent="0.3">
      <c r="A30" t="s">
        <v>101</v>
      </c>
      <c r="B30" t="s">
        <v>13</v>
      </c>
      <c r="C30" t="s">
        <v>11</v>
      </c>
      <c r="D30" s="2">
        <v>74</v>
      </c>
      <c r="E30" s="2">
        <v>67</v>
      </c>
      <c r="F30" s="2">
        <v>69</v>
      </c>
      <c r="G30" s="2">
        <v>73</v>
      </c>
      <c r="H30" s="3">
        <f t="shared" si="0"/>
        <v>69.67</v>
      </c>
      <c r="I30" t="str">
        <f t="shared" si="1"/>
        <v>Pass</v>
      </c>
    </row>
    <row r="31" spans="1:9" x14ac:dyDescent="0.3">
      <c r="A31" t="s">
        <v>91</v>
      </c>
      <c r="B31" t="s">
        <v>13</v>
      </c>
      <c r="C31" t="s">
        <v>11</v>
      </c>
      <c r="D31" s="2">
        <v>75</v>
      </c>
      <c r="E31" s="2">
        <v>68</v>
      </c>
      <c r="F31" s="2">
        <v>70</v>
      </c>
      <c r="G31" s="2">
        <v>72</v>
      </c>
      <c r="H31" s="3">
        <f t="shared" si="0"/>
        <v>70</v>
      </c>
      <c r="I31" t="str">
        <f t="shared" si="1"/>
        <v>Pass</v>
      </c>
    </row>
    <row r="32" spans="1:9" x14ac:dyDescent="0.3">
      <c r="A32" t="s">
        <v>37</v>
      </c>
      <c r="B32" t="s">
        <v>13</v>
      </c>
      <c r="C32" t="s">
        <v>14</v>
      </c>
      <c r="D32" s="2">
        <v>75</v>
      </c>
      <c r="E32" s="2">
        <v>68</v>
      </c>
      <c r="F32" s="2">
        <v>70</v>
      </c>
      <c r="G32" s="2">
        <v>73</v>
      </c>
      <c r="H32" s="3">
        <f t="shared" si="0"/>
        <v>70.33</v>
      </c>
      <c r="I32" t="str">
        <f t="shared" si="1"/>
        <v>Pass</v>
      </c>
    </row>
    <row r="33" spans="1:9" x14ac:dyDescent="0.3">
      <c r="A33" t="s">
        <v>25</v>
      </c>
      <c r="B33" t="s">
        <v>13</v>
      </c>
      <c r="C33" t="s">
        <v>20</v>
      </c>
      <c r="D33" s="2">
        <v>76</v>
      </c>
      <c r="E33" s="2">
        <v>69</v>
      </c>
      <c r="F33" s="2">
        <v>73</v>
      </c>
      <c r="G33" s="2">
        <v>70</v>
      </c>
      <c r="H33" s="3">
        <f t="shared" si="0"/>
        <v>70.67</v>
      </c>
      <c r="I33" t="str">
        <f t="shared" si="1"/>
        <v>Pass</v>
      </c>
    </row>
    <row r="34" spans="1:9" x14ac:dyDescent="0.3">
      <c r="A34" t="s">
        <v>67</v>
      </c>
      <c r="B34" t="s">
        <v>13</v>
      </c>
      <c r="C34" t="s">
        <v>14</v>
      </c>
      <c r="D34" s="2">
        <v>76</v>
      </c>
      <c r="E34" s="2">
        <v>69</v>
      </c>
      <c r="F34" s="2">
        <v>71</v>
      </c>
      <c r="G34" s="2">
        <v>74</v>
      </c>
      <c r="H34" s="3">
        <f t="shared" ref="H34:H65" si="2">ROUND(AVERAGE(E34:G34),2)</f>
        <v>71.33</v>
      </c>
      <c r="I34" t="str">
        <f t="shared" ref="I34:I65" si="3">IF(H34&gt;=50,"Pass","Fail")</f>
        <v>Pass</v>
      </c>
    </row>
    <row r="35" spans="1:9" x14ac:dyDescent="0.3">
      <c r="A35" t="s">
        <v>12</v>
      </c>
      <c r="B35" t="s">
        <v>13</v>
      </c>
      <c r="C35" t="s">
        <v>14</v>
      </c>
      <c r="D35" s="2">
        <v>78</v>
      </c>
      <c r="E35" s="2">
        <v>72</v>
      </c>
      <c r="F35" s="2">
        <v>68</v>
      </c>
      <c r="G35" s="2">
        <v>75</v>
      </c>
      <c r="H35" s="3">
        <f t="shared" si="2"/>
        <v>71.67</v>
      </c>
      <c r="I35" t="str">
        <f t="shared" si="3"/>
        <v>Pass</v>
      </c>
    </row>
    <row r="36" spans="1:9" x14ac:dyDescent="0.3">
      <c r="A36" t="s">
        <v>51</v>
      </c>
      <c r="B36" t="s">
        <v>13</v>
      </c>
      <c r="C36" t="s">
        <v>11</v>
      </c>
      <c r="D36" s="2">
        <v>77</v>
      </c>
      <c r="E36" s="2">
        <v>70</v>
      </c>
      <c r="F36" s="2">
        <v>72</v>
      </c>
      <c r="G36" s="2">
        <v>74</v>
      </c>
      <c r="H36" s="3">
        <f t="shared" si="2"/>
        <v>72</v>
      </c>
      <c r="I36" t="str">
        <f t="shared" si="3"/>
        <v>Pass</v>
      </c>
    </row>
    <row r="37" spans="1:9" x14ac:dyDescent="0.3">
      <c r="A37" t="s">
        <v>107</v>
      </c>
      <c r="B37" t="s">
        <v>13</v>
      </c>
      <c r="C37" t="s">
        <v>14</v>
      </c>
      <c r="D37" s="2">
        <v>77</v>
      </c>
      <c r="E37" s="2">
        <v>70</v>
      </c>
      <c r="F37" s="2">
        <v>73</v>
      </c>
      <c r="G37" s="2">
        <v>75</v>
      </c>
      <c r="H37" s="3">
        <f t="shared" si="2"/>
        <v>72.67</v>
      </c>
      <c r="I37" t="str">
        <f t="shared" si="3"/>
        <v>Pass</v>
      </c>
    </row>
    <row r="38" spans="1:9" x14ac:dyDescent="0.3">
      <c r="A38" t="s">
        <v>41</v>
      </c>
      <c r="B38" t="s">
        <v>13</v>
      </c>
      <c r="C38" t="s">
        <v>11</v>
      </c>
      <c r="D38" s="2">
        <v>79</v>
      </c>
      <c r="E38" s="2">
        <v>71</v>
      </c>
      <c r="F38" s="2">
        <v>74</v>
      </c>
      <c r="G38" s="2">
        <v>76</v>
      </c>
      <c r="H38" s="3">
        <f t="shared" si="2"/>
        <v>73.67</v>
      </c>
      <c r="I38" t="str">
        <f t="shared" si="3"/>
        <v>Pass</v>
      </c>
    </row>
    <row r="39" spans="1:9" x14ac:dyDescent="0.3">
      <c r="A39" t="s">
        <v>64</v>
      </c>
      <c r="B39" t="s">
        <v>10</v>
      </c>
      <c r="C39" t="s">
        <v>18</v>
      </c>
      <c r="D39" s="2">
        <v>79</v>
      </c>
      <c r="E39" s="2">
        <v>74</v>
      </c>
      <c r="F39" s="2">
        <v>72</v>
      </c>
      <c r="G39" s="2">
        <v>76</v>
      </c>
      <c r="H39" s="3">
        <f t="shared" si="2"/>
        <v>74</v>
      </c>
      <c r="I39" t="str">
        <f t="shared" si="3"/>
        <v>Pass</v>
      </c>
    </row>
    <row r="40" spans="1:9" x14ac:dyDescent="0.3">
      <c r="A40" t="s">
        <v>77</v>
      </c>
      <c r="B40" t="s">
        <v>13</v>
      </c>
      <c r="C40" t="s">
        <v>14</v>
      </c>
      <c r="D40" s="2">
        <v>78</v>
      </c>
      <c r="E40" s="2">
        <v>72</v>
      </c>
      <c r="F40" s="2">
        <v>74</v>
      </c>
      <c r="G40" s="2">
        <v>76</v>
      </c>
      <c r="H40" s="3">
        <f t="shared" si="2"/>
        <v>74</v>
      </c>
      <c r="I40" t="str">
        <f t="shared" si="3"/>
        <v>Pass</v>
      </c>
    </row>
    <row r="41" spans="1:9" x14ac:dyDescent="0.3">
      <c r="A41" t="s">
        <v>97</v>
      </c>
      <c r="B41" t="s">
        <v>13</v>
      </c>
      <c r="C41" t="s">
        <v>14</v>
      </c>
      <c r="D41" s="2">
        <v>79</v>
      </c>
      <c r="E41" s="2">
        <v>71</v>
      </c>
      <c r="F41" s="2">
        <v>75</v>
      </c>
      <c r="G41" s="2">
        <v>77</v>
      </c>
      <c r="H41" s="3">
        <f t="shared" si="2"/>
        <v>74.33</v>
      </c>
      <c r="I41" t="str">
        <f t="shared" si="3"/>
        <v>Pass</v>
      </c>
    </row>
    <row r="42" spans="1:9" x14ac:dyDescent="0.3">
      <c r="A42" t="s">
        <v>71</v>
      </c>
      <c r="B42" t="s">
        <v>13</v>
      </c>
      <c r="C42" t="s">
        <v>11</v>
      </c>
      <c r="D42" s="2">
        <v>81</v>
      </c>
      <c r="E42" s="2">
        <v>75</v>
      </c>
      <c r="F42" s="2">
        <v>73</v>
      </c>
      <c r="G42" s="2">
        <v>77</v>
      </c>
      <c r="H42" s="3">
        <f t="shared" si="2"/>
        <v>75</v>
      </c>
      <c r="I42" t="str">
        <f t="shared" si="3"/>
        <v>Pass</v>
      </c>
    </row>
    <row r="43" spans="1:9" x14ac:dyDescent="0.3">
      <c r="A43" t="s">
        <v>57</v>
      </c>
      <c r="B43" t="s">
        <v>13</v>
      </c>
      <c r="C43" t="s">
        <v>14</v>
      </c>
      <c r="D43" s="2">
        <v>80</v>
      </c>
      <c r="E43" s="2">
        <v>73</v>
      </c>
      <c r="F43" s="2">
        <v>76</v>
      </c>
      <c r="G43" s="2">
        <v>78</v>
      </c>
      <c r="H43" s="3">
        <f t="shared" si="2"/>
        <v>75.67</v>
      </c>
      <c r="I43" t="str">
        <f t="shared" si="3"/>
        <v>Pass</v>
      </c>
    </row>
    <row r="44" spans="1:9" x14ac:dyDescent="0.3">
      <c r="A44" t="s">
        <v>83</v>
      </c>
      <c r="B44" t="s">
        <v>13</v>
      </c>
      <c r="C44" t="s">
        <v>16</v>
      </c>
      <c r="D44" s="2">
        <v>80</v>
      </c>
      <c r="E44" s="2">
        <v>73</v>
      </c>
      <c r="F44" s="2">
        <v>76</v>
      </c>
      <c r="G44" s="2">
        <v>79</v>
      </c>
      <c r="H44" s="3">
        <f t="shared" si="2"/>
        <v>76</v>
      </c>
      <c r="I44" t="str">
        <f t="shared" si="3"/>
        <v>Pass</v>
      </c>
    </row>
    <row r="45" spans="1:9" x14ac:dyDescent="0.3">
      <c r="A45" t="s">
        <v>111</v>
      </c>
      <c r="B45" t="s">
        <v>13</v>
      </c>
      <c r="C45" t="s">
        <v>11</v>
      </c>
      <c r="D45" s="2">
        <v>80</v>
      </c>
      <c r="E45" s="2">
        <v>74</v>
      </c>
      <c r="F45" s="2">
        <v>76</v>
      </c>
      <c r="G45" s="2">
        <v>78</v>
      </c>
      <c r="H45" s="3">
        <f t="shared" si="2"/>
        <v>76</v>
      </c>
      <c r="I45" t="str">
        <f t="shared" si="3"/>
        <v>Pass</v>
      </c>
    </row>
    <row r="46" spans="1:9" x14ac:dyDescent="0.3">
      <c r="A46" t="s">
        <v>33</v>
      </c>
      <c r="B46" t="s">
        <v>13</v>
      </c>
      <c r="C46" t="s">
        <v>16</v>
      </c>
      <c r="D46" s="2">
        <v>81</v>
      </c>
      <c r="E46" s="2">
        <v>74</v>
      </c>
      <c r="F46" s="2">
        <v>77</v>
      </c>
      <c r="G46" s="2">
        <v>79</v>
      </c>
      <c r="H46" s="3">
        <f t="shared" si="2"/>
        <v>76.67</v>
      </c>
      <c r="I46" t="str">
        <f t="shared" si="3"/>
        <v>Pass</v>
      </c>
    </row>
    <row r="47" spans="1:9" x14ac:dyDescent="0.3">
      <c r="A47" t="s">
        <v>30</v>
      </c>
      <c r="B47" t="s">
        <v>10</v>
      </c>
      <c r="C47" t="s">
        <v>20</v>
      </c>
      <c r="D47" s="2">
        <v>83</v>
      </c>
      <c r="E47" s="2">
        <v>75</v>
      </c>
      <c r="F47" s="2">
        <v>78</v>
      </c>
      <c r="G47" s="2">
        <v>80</v>
      </c>
      <c r="H47" s="3">
        <f t="shared" si="2"/>
        <v>77.67</v>
      </c>
      <c r="I47" t="str">
        <f t="shared" si="3"/>
        <v>Pass</v>
      </c>
    </row>
    <row r="48" spans="1:9" x14ac:dyDescent="0.3">
      <c r="A48" t="s">
        <v>47</v>
      </c>
      <c r="B48" t="s">
        <v>13</v>
      </c>
      <c r="C48" t="s">
        <v>14</v>
      </c>
      <c r="D48" s="2">
        <v>82</v>
      </c>
      <c r="E48" s="2">
        <v>78</v>
      </c>
      <c r="F48" s="2">
        <v>75</v>
      </c>
      <c r="G48" s="2">
        <v>81</v>
      </c>
      <c r="H48" s="3">
        <f t="shared" si="2"/>
        <v>78</v>
      </c>
      <c r="I48" t="str">
        <f t="shared" si="3"/>
        <v>Pass</v>
      </c>
    </row>
    <row r="49" spans="1:9" x14ac:dyDescent="0.3">
      <c r="A49" t="s">
        <v>93</v>
      </c>
      <c r="B49" t="s">
        <v>13</v>
      </c>
      <c r="C49" t="s">
        <v>16</v>
      </c>
      <c r="D49" s="2">
        <v>82</v>
      </c>
      <c r="E49" s="2">
        <v>76</v>
      </c>
      <c r="F49" s="2">
        <v>78</v>
      </c>
      <c r="G49" s="2">
        <v>80</v>
      </c>
      <c r="H49" s="3">
        <f t="shared" si="2"/>
        <v>78</v>
      </c>
      <c r="I49" t="str">
        <f t="shared" si="3"/>
        <v>Pass</v>
      </c>
    </row>
    <row r="50" spans="1:9" x14ac:dyDescent="0.3">
      <c r="A50" t="s">
        <v>44</v>
      </c>
      <c r="B50" t="s">
        <v>10</v>
      </c>
      <c r="C50" t="s">
        <v>18</v>
      </c>
      <c r="D50" s="2">
        <v>87</v>
      </c>
      <c r="E50" s="2">
        <v>76</v>
      </c>
      <c r="F50" s="2">
        <v>81</v>
      </c>
      <c r="G50" s="2">
        <v>78</v>
      </c>
      <c r="H50" s="3">
        <f t="shared" si="2"/>
        <v>78.33</v>
      </c>
      <c r="I50" t="str">
        <f t="shared" si="3"/>
        <v>Pass</v>
      </c>
    </row>
    <row r="51" spans="1:9" x14ac:dyDescent="0.3">
      <c r="A51" t="s">
        <v>19</v>
      </c>
      <c r="B51" t="s">
        <v>10</v>
      </c>
      <c r="C51" t="s">
        <v>20</v>
      </c>
      <c r="D51" s="2">
        <v>84</v>
      </c>
      <c r="E51" s="2">
        <v>79</v>
      </c>
      <c r="F51" s="2">
        <v>81</v>
      </c>
      <c r="G51" s="2">
        <v>77</v>
      </c>
      <c r="H51" s="3">
        <f t="shared" si="2"/>
        <v>79</v>
      </c>
      <c r="I51" t="str">
        <f t="shared" si="3"/>
        <v>Pass</v>
      </c>
    </row>
    <row r="52" spans="1:9" x14ac:dyDescent="0.3">
      <c r="A52" t="s">
        <v>104</v>
      </c>
      <c r="B52" t="s">
        <v>10</v>
      </c>
      <c r="C52" t="s">
        <v>18</v>
      </c>
      <c r="D52" s="2">
        <v>83</v>
      </c>
      <c r="E52" s="2">
        <v>77</v>
      </c>
      <c r="F52" s="2">
        <v>79</v>
      </c>
      <c r="G52" s="2">
        <v>81</v>
      </c>
      <c r="H52" s="3">
        <f t="shared" si="2"/>
        <v>79</v>
      </c>
      <c r="I52" t="str">
        <f t="shared" si="3"/>
        <v>Pass</v>
      </c>
    </row>
    <row r="53" spans="1:9" x14ac:dyDescent="0.3">
      <c r="A53" t="s">
        <v>63</v>
      </c>
      <c r="B53" t="s">
        <v>13</v>
      </c>
      <c r="C53" t="s">
        <v>16</v>
      </c>
      <c r="D53" s="2">
        <v>83</v>
      </c>
      <c r="E53" s="2">
        <v>77</v>
      </c>
      <c r="F53" s="2">
        <v>79</v>
      </c>
      <c r="G53" s="2">
        <v>82</v>
      </c>
      <c r="H53" s="3">
        <f t="shared" si="2"/>
        <v>79.33</v>
      </c>
      <c r="I53" t="str">
        <f t="shared" si="3"/>
        <v>Pass</v>
      </c>
    </row>
    <row r="54" spans="1:9" x14ac:dyDescent="0.3">
      <c r="A54" t="s">
        <v>54</v>
      </c>
      <c r="B54" t="s">
        <v>10</v>
      </c>
      <c r="C54" t="s">
        <v>18</v>
      </c>
      <c r="D54" s="2">
        <v>84</v>
      </c>
      <c r="E54" s="2">
        <v>79</v>
      </c>
      <c r="F54" s="2">
        <v>77</v>
      </c>
      <c r="G54" s="2">
        <v>83</v>
      </c>
      <c r="H54" s="3">
        <f t="shared" si="2"/>
        <v>79.67</v>
      </c>
      <c r="I54" t="str">
        <f t="shared" si="3"/>
        <v>Pass</v>
      </c>
    </row>
    <row r="55" spans="1:9" x14ac:dyDescent="0.3">
      <c r="A55" t="s">
        <v>103</v>
      </c>
      <c r="B55" t="s">
        <v>13</v>
      </c>
      <c r="C55" t="s">
        <v>16</v>
      </c>
      <c r="D55" s="2">
        <v>85</v>
      </c>
      <c r="E55" s="2">
        <v>78</v>
      </c>
      <c r="F55" s="2">
        <v>80</v>
      </c>
      <c r="G55" s="2">
        <v>82</v>
      </c>
      <c r="H55" s="3">
        <f t="shared" si="2"/>
        <v>80</v>
      </c>
      <c r="I55" t="str">
        <f t="shared" si="3"/>
        <v>Pass</v>
      </c>
    </row>
    <row r="56" spans="1:9" x14ac:dyDescent="0.3">
      <c r="A56" t="s">
        <v>80</v>
      </c>
      <c r="B56" t="s">
        <v>10</v>
      </c>
      <c r="C56" t="s">
        <v>20</v>
      </c>
      <c r="D56" s="2">
        <v>85</v>
      </c>
      <c r="E56" s="2">
        <v>80</v>
      </c>
      <c r="F56" s="2">
        <v>78</v>
      </c>
      <c r="G56" s="2">
        <v>83</v>
      </c>
      <c r="H56" s="3">
        <f t="shared" si="2"/>
        <v>80.33</v>
      </c>
      <c r="I56" t="str">
        <f t="shared" si="3"/>
        <v>Pass</v>
      </c>
    </row>
    <row r="57" spans="1:9" x14ac:dyDescent="0.3">
      <c r="A57" t="s">
        <v>87</v>
      </c>
      <c r="B57" t="s">
        <v>13</v>
      </c>
      <c r="C57" t="s">
        <v>14</v>
      </c>
      <c r="D57" s="2">
        <v>84</v>
      </c>
      <c r="E57" s="2">
        <v>77</v>
      </c>
      <c r="F57" s="2">
        <v>81</v>
      </c>
      <c r="G57" s="2">
        <v>83</v>
      </c>
      <c r="H57" s="3">
        <f t="shared" si="2"/>
        <v>80.33</v>
      </c>
      <c r="I57" t="str">
        <f t="shared" si="3"/>
        <v>Pass</v>
      </c>
    </row>
    <row r="58" spans="1:9" x14ac:dyDescent="0.3">
      <c r="A58" t="s">
        <v>40</v>
      </c>
      <c r="B58" t="s">
        <v>10</v>
      </c>
      <c r="C58" t="s">
        <v>20</v>
      </c>
      <c r="D58" s="2">
        <v>85</v>
      </c>
      <c r="E58" s="2">
        <v>83</v>
      </c>
      <c r="F58" s="2">
        <v>79</v>
      </c>
      <c r="G58" s="2">
        <v>82</v>
      </c>
      <c r="H58" s="3">
        <f t="shared" si="2"/>
        <v>81.33</v>
      </c>
      <c r="I58" t="str">
        <f t="shared" si="3"/>
        <v>Pass</v>
      </c>
    </row>
    <row r="59" spans="1:9" x14ac:dyDescent="0.3">
      <c r="A59" t="s">
        <v>113</v>
      </c>
      <c r="B59" t="s">
        <v>13</v>
      </c>
      <c r="C59" t="s">
        <v>16</v>
      </c>
      <c r="D59" s="2">
        <v>86</v>
      </c>
      <c r="E59" s="2">
        <v>79</v>
      </c>
      <c r="F59" s="2">
        <v>82</v>
      </c>
      <c r="G59" s="2">
        <v>84</v>
      </c>
      <c r="H59" s="3">
        <f t="shared" si="2"/>
        <v>81.67</v>
      </c>
      <c r="I59" t="str">
        <f t="shared" si="3"/>
        <v>Pass</v>
      </c>
    </row>
    <row r="60" spans="1:9" x14ac:dyDescent="0.3">
      <c r="A60" t="s">
        <v>26</v>
      </c>
      <c r="B60" t="s">
        <v>10</v>
      </c>
      <c r="C60" t="s">
        <v>11</v>
      </c>
      <c r="D60" s="2">
        <v>88</v>
      </c>
      <c r="E60" s="2">
        <v>82</v>
      </c>
      <c r="F60" s="2">
        <v>79</v>
      </c>
      <c r="G60" s="2">
        <v>85</v>
      </c>
      <c r="H60" s="3">
        <f t="shared" si="2"/>
        <v>82</v>
      </c>
      <c r="I60" t="str">
        <f t="shared" si="3"/>
        <v>Pass</v>
      </c>
    </row>
    <row r="61" spans="1:9" x14ac:dyDescent="0.3">
      <c r="A61" t="s">
        <v>34</v>
      </c>
      <c r="B61" t="s">
        <v>10</v>
      </c>
      <c r="C61" t="s">
        <v>18</v>
      </c>
      <c r="D61" s="2">
        <v>86</v>
      </c>
      <c r="E61" s="2">
        <v>80</v>
      </c>
      <c r="F61" s="2">
        <v>82</v>
      </c>
      <c r="G61" s="2">
        <v>84</v>
      </c>
      <c r="H61" s="3">
        <f t="shared" si="2"/>
        <v>82</v>
      </c>
      <c r="I61" t="str">
        <f t="shared" si="3"/>
        <v>Pass</v>
      </c>
    </row>
    <row r="62" spans="1:9" x14ac:dyDescent="0.3">
      <c r="A62" t="s">
        <v>70</v>
      </c>
      <c r="B62" t="s">
        <v>10</v>
      </c>
      <c r="C62" t="s">
        <v>20</v>
      </c>
      <c r="D62" s="2">
        <v>86</v>
      </c>
      <c r="E62" s="2">
        <v>82</v>
      </c>
      <c r="F62" s="2">
        <v>80</v>
      </c>
      <c r="G62" s="2">
        <v>84</v>
      </c>
      <c r="H62" s="3">
        <f t="shared" si="2"/>
        <v>82</v>
      </c>
      <c r="I62" t="str">
        <f t="shared" si="3"/>
        <v>Pass</v>
      </c>
    </row>
    <row r="63" spans="1:9" x14ac:dyDescent="0.3">
      <c r="A63" t="s">
        <v>84</v>
      </c>
      <c r="B63" t="s">
        <v>10</v>
      </c>
      <c r="C63" t="s">
        <v>18</v>
      </c>
      <c r="D63" s="2">
        <v>88</v>
      </c>
      <c r="E63" s="2">
        <v>82</v>
      </c>
      <c r="F63" s="2">
        <v>80</v>
      </c>
      <c r="G63" s="2">
        <v>85</v>
      </c>
      <c r="H63" s="3">
        <f t="shared" si="2"/>
        <v>82.33</v>
      </c>
      <c r="I63" t="str">
        <f t="shared" si="3"/>
        <v>Pass</v>
      </c>
    </row>
    <row r="64" spans="1:9" x14ac:dyDescent="0.3">
      <c r="A64" t="s">
        <v>9</v>
      </c>
      <c r="B64" t="s">
        <v>10</v>
      </c>
      <c r="C64" t="s">
        <v>11</v>
      </c>
      <c r="D64" s="2">
        <v>92</v>
      </c>
      <c r="E64" s="2">
        <v>85</v>
      </c>
      <c r="F64" s="2">
        <v>78</v>
      </c>
      <c r="G64" s="2">
        <v>88</v>
      </c>
      <c r="H64" s="3">
        <f t="shared" si="2"/>
        <v>83.67</v>
      </c>
      <c r="I64" t="str">
        <f t="shared" si="3"/>
        <v>Pass</v>
      </c>
    </row>
    <row r="65" spans="1:9" x14ac:dyDescent="0.3">
      <c r="A65" t="s">
        <v>90</v>
      </c>
      <c r="B65" t="s">
        <v>10</v>
      </c>
      <c r="C65" t="s">
        <v>20</v>
      </c>
      <c r="D65" s="2">
        <v>87</v>
      </c>
      <c r="E65" s="2">
        <v>81</v>
      </c>
      <c r="F65" s="2">
        <v>84</v>
      </c>
      <c r="G65" s="2">
        <v>86</v>
      </c>
      <c r="H65" s="3">
        <f t="shared" si="2"/>
        <v>83.67</v>
      </c>
      <c r="I65" t="str">
        <f t="shared" si="3"/>
        <v>Pass</v>
      </c>
    </row>
    <row r="66" spans="1:9" x14ac:dyDescent="0.3">
      <c r="A66" t="s">
        <v>114</v>
      </c>
      <c r="B66" t="s">
        <v>10</v>
      </c>
      <c r="C66" t="s">
        <v>18</v>
      </c>
      <c r="D66" s="2">
        <v>88</v>
      </c>
      <c r="E66" s="2">
        <v>83</v>
      </c>
      <c r="F66" s="2">
        <v>81</v>
      </c>
      <c r="G66" s="2">
        <v>87</v>
      </c>
      <c r="H66" s="3">
        <f t="shared" ref="H66:H97" si="4">ROUND(AVERAGE(E66:G66),2)</f>
        <v>83.67</v>
      </c>
      <c r="I66" t="str">
        <f t="shared" ref="I66:I97" si="5">IF(H66&gt;=50,"Pass","Fail")</f>
        <v>Pass</v>
      </c>
    </row>
    <row r="67" spans="1:9" x14ac:dyDescent="0.3">
      <c r="A67" t="s">
        <v>60</v>
      </c>
      <c r="B67" t="s">
        <v>10</v>
      </c>
      <c r="C67" t="s">
        <v>20</v>
      </c>
      <c r="D67" s="2">
        <v>88</v>
      </c>
      <c r="E67" s="2">
        <v>81</v>
      </c>
      <c r="F67" s="2">
        <v>85</v>
      </c>
      <c r="G67" s="2">
        <v>86</v>
      </c>
      <c r="H67" s="3">
        <f t="shared" si="4"/>
        <v>84</v>
      </c>
      <c r="I67" t="str">
        <f t="shared" si="5"/>
        <v>Pass</v>
      </c>
    </row>
    <row r="68" spans="1:9" x14ac:dyDescent="0.3">
      <c r="A68" t="s">
        <v>74</v>
      </c>
      <c r="B68" t="s">
        <v>10</v>
      </c>
      <c r="C68" t="s">
        <v>18</v>
      </c>
      <c r="D68" s="2">
        <v>89</v>
      </c>
      <c r="E68" s="2">
        <v>84</v>
      </c>
      <c r="F68" s="2">
        <v>86</v>
      </c>
      <c r="G68" s="2">
        <v>87</v>
      </c>
      <c r="H68" s="3">
        <f t="shared" si="4"/>
        <v>85.67</v>
      </c>
      <c r="I68" t="str">
        <f t="shared" si="5"/>
        <v>Pass</v>
      </c>
    </row>
    <row r="69" spans="1:9" x14ac:dyDescent="0.3">
      <c r="A69" t="s">
        <v>100</v>
      </c>
      <c r="B69" t="s">
        <v>10</v>
      </c>
      <c r="C69" t="s">
        <v>20</v>
      </c>
      <c r="D69" s="2">
        <v>89</v>
      </c>
      <c r="E69" s="2">
        <v>83</v>
      </c>
      <c r="F69" s="2">
        <v>86</v>
      </c>
      <c r="G69" s="2">
        <v>88</v>
      </c>
      <c r="H69" s="3">
        <f t="shared" si="4"/>
        <v>85.67</v>
      </c>
      <c r="I69" t="str">
        <f t="shared" si="5"/>
        <v>Pass</v>
      </c>
    </row>
    <row r="70" spans="1:9" x14ac:dyDescent="0.3">
      <c r="A70" t="s">
        <v>50</v>
      </c>
      <c r="B70" t="s">
        <v>10</v>
      </c>
      <c r="C70" t="s">
        <v>20</v>
      </c>
      <c r="D70" s="2">
        <v>91</v>
      </c>
      <c r="E70" s="2">
        <v>88</v>
      </c>
      <c r="F70" s="2">
        <v>84</v>
      </c>
      <c r="G70" s="2">
        <v>87</v>
      </c>
      <c r="H70" s="3">
        <f t="shared" si="4"/>
        <v>86.33</v>
      </c>
      <c r="I70" t="str">
        <f t="shared" si="5"/>
        <v>Pass</v>
      </c>
    </row>
    <row r="71" spans="1:9" x14ac:dyDescent="0.3">
      <c r="A71" t="s">
        <v>110</v>
      </c>
      <c r="B71" t="s">
        <v>10</v>
      </c>
      <c r="C71" t="s">
        <v>20</v>
      </c>
      <c r="D71" s="2">
        <v>90</v>
      </c>
      <c r="E71" s="2">
        <v>86</v>
      </c>
      <c r="F71" s="2">
        <v>84</v>
      </c>
      <c r="G71" s="2">
        <v>89</v>
      </c>
      <c r="H71" s="3">
        <f t="shared" si="4"/>
        <v>86.33</v>
      </c>
      <c r="I71" t="str">
        <f t="shared" si="5"/>
        <v>Pass</v>
      </c>
    </row>
    <row r="72" spans="1:9" x14ac:dyDescent="0.3">
      <c r="A72" t="s">
        <v>66</v>
      </c>
      <c r="B72" t="s">
        <v>10</v>
      </c>
      <c r="C72" t="s">
        <v>11</v>
      </c>
      <c r="D72" s="2">
        <v>90</v>
      </c>
      <c r="E72" s="2">
        <v>87</v>
      </c>
      <c r="F72" s="2">
        <v>85</v>
      </c>
      <c r="G72" s="2">
        <v>88</v>
      </c>
      <c r="H72" s="3">
        <f t="shared" si="4"/>
        <v>86.67</v>
      </c>
      <c r="I72" t="str">
        <f t="shared" si="5"/>
        <v>Pass</v>
      </c>
    </row>
    <row r="73" spans="1:9" x14ac:dyDescent="0.3">
      <c r="A73" t="s">
        <v>94</v>
      </c>
      <c r="B73" t="s">
        <v>10</v>
      </c>
      <c r="C73" t="s">
        <v>18</v>
      </c>
      <c r="D73" s="2">
        <v>90</v>
      </c>
      <c r="E73" s="2">
        <v>85</v>
      </c>
      <c r="F73" s="2">
        <v>87</v>
      </c>
      <c r="G73" s="2">
        <v>89</v>
      </c>
      <c r="H73" s="3">
        <f t="shared" si="4"/>
        <v>87</v>
      </c>
      <c r="I73" t="str">
        <f t="shared" si="5"/>
        <v>Pass</v>
      </c>
    </row>
    <row r="74" spans="1:9" x14ac:dyDescent="0.3">
      <c r="A74" t="s">
        <v>22</v>
      </c>
      <c r="B74" t="s">
        <v>10</v>
      </c>
      <c r="C74" t="s">
        <v>14</v>
      </c>
      <c r="D74" s="2">
        <v>89</v>
      </c>
      <c r="E74" s="2">
        <v>88</v>
      </c>
      <c r="F74" s="2">
        <v>84</v>
      </c>
      <c r="G74" s="2">
        <v>91</v>
      </c>
      <c r="H74" s="3">
        <f t="shared" si="4"/>
        <v>87.67</v>
      </c>
      <c r="I74" t="str">
        <f t="shared" si="5"/>
        <v>Pass</v>
      </c>
    </row>
    <row r="75" spans="1:9" x14ac:dyDescent="0.3">
      <c r="A75" t="s">
        <v>48</v>
      </c>
      <c r="B75" t="s">
        <v>10</v>
      </c>
      <c r="C75" t="s">
        <v>16</v>
      </c>
      <c r="D75" s="2">
        <v>89</v>
      </c>
      <c r="E75" s="2">
        <v>85</v>
      </c>
      <c r="F75" s="2">
        <v>88</v>
      </c>
      <c r="G75" s="2">
        <v>90</v>
      </c>
      <c r="H75" s="3">
        <f t="shared" si="4"/>
        <v>87.67</v>
      </c>
      <c r="I75" t="str">
        <f t="shared" si="5"/>
        <v>Pass</v>
      </c>
    </row>
    <row r="76" spans="1:9" x14ac:dyDescent="0.3">
      <c r="A76" t="s">
        <v>86</v>
      </c>
      <c r="B76" t="s">
        <v>10</v>
      </c>
      <c r="C76" t="s">
        <v>11</v>
      </c>
      <c r="D76" s="2">
        <v>91</v>
      </c>
      <c r="E76" s="2">
        <v>86</v>
      </c>
      <c r="F76" s="2">
        <v>88</v>
      </c>
      <c r="G76" s="2">
        <v>90</v>
      </c>
      <c r="H76" s="3">
        <f t="shared" si="4"/>
        <v>88</v>
      </c>
      <c r="I76" t="str">
        <f t="shared" si="5"/>
        <v>Pass</v>
      </c>
    </row>
    <row r="77" spans="1:9" x14ac:dyDescent="0.3">
      <c r="A77" t="s">
        <v>56</v>
      </c>
      <c r="B77" t="s">
        <v>10</v>
      </c>
      <c r="C77" t="s">
        <v>11</v>
      </c>
      <c r="D77" s="2">
        <v>92</v>
      </c>
      <c r="E77" s="2">
        <v>86</v>
      </c>
      <c r="F77" s="2">
        <v>89</v>
      </c>
      <c r="G77" s="2">
        <v>91</v>
      </c>
      <c r="H77" s="3">
        <f t="shared" si="4"/>
        <v>88.67</v>
      </c>
      <c r="I77" t="str">
        <f t="shared" si="5"/>
        <v>Pass</v>
      </c>
    </row>
    <row r="78" spans="1:9" x14ac:dyDescent="0.3">
      <c r="A78" t="s">
        <v>36</v>
      </c>
      <c r="B78" t="s">
        <v>10</v>
      </c>
      <c r="C78" t="s">
        <v>11</v>
      </c>
      <c r="D78" s="2">
        <v>94</v>
      </c>
      <c r="E78" s="2">
        <v>89</v>
      </c>
      <c r="F78" s="2">
        <v>87</v>
      </c>
      <c r="G78" s="2">
        <v>91</v>
      </c>
      <c r="H78" s="3">
        <f t="shared" si="4"/>
        <v>89</v>
      </c>
      <c r="I78" t="str">
        <f t="shared" si="5"/>
        <v>Pass</v>
      </c>
    </row>
    <row r="79" spans="1:9" x14ac:dyDescent="0.3">
      <c r="A79" t="s">
        <v>28</v>
      </c>
      <c r="B79" t="s">
        <v>10</v>
      </c>
      <c r="C79" t="s">
        <v>16</v>
      </c>
      <c r="D79" s="2">
        <v>91</v>
      </c>
      <c r="E79" s="2">
        <v>87</v>
      </c>
      <c r="F79" s="2">
        <v>90</v>
      </c>
      <c r="G79" s="2">
        <v>92</v>
      </c>
      <c r="H79" s="3">
        <f t="shared" si="4"/>
        <v>89.67</v>
      </c>
      <c r="I79" t="str">
        <f t="shared" si="5"/>
        <v>Pass</v>
      </c>
    </row>
    <row r="80" spans="1:9" x14ac:dyDescent="0.3">
      <c r="A80" t="s">
        <v>78</v>
      </c>
      <c r="B80" t="s">
        <v>10</v>
      </c>
      <c r="C80" t="s">
        <v>16</v>
      </c>
      <c r="D80" s="2">
        <v>92</v>
      </c>
      <c r="E80" s="2">
        <v>88</v>
      </c>
      <c r="F80" s="2">
        <v>91</v>
      </c>
      <c r="G80" s="2">
        <v>90</v>
      </c>
      <c r="H80" s="3">
        <f t="shared" si="4"/>
        <v>89.67</v>
      </c>
      <c r="I80" t="str">
        <f t="shared" si="5"/>
        <v>Pass</v>
      </c>
    </row>
    <row r="81" spans="1:9" x14ac:dyDescent="0.3">
      <c r="A81" t="s">
        <v>106</v>
      </c>
      <c r="B81" t="s">
        <v>10</v>
      </c>
      <c r="C81" t="s">
        <v>11</v>
      </c>
      <c r="D81" s="2">
        <v>92</v>
      </c>
      <c r="E81" s="2">
        <v>88</v>
      </c>
      <c r="F81" s="2">
        <v>90</v>
      </c>
      <c r="G81" s="2">
        <v>91</v>
      </c>
      <c r="H81" s="3">
        <f t="shared" si="4"/>
        <v>89.67</v>
      </c>
      <c r="I81" t="str">
        <f t="shared" si="5"/>
        <v>Pass</v>
      </c>
    </row>
    <row r="82" spans="1:9" x14ac:dyDescent="0.3">
      <c r="A82" t="s">
        <v>42</v>
      </c>
      <c r="B82" t="s">
        <v>10</v>
      </c>
      <c r="C82" t="s">
        <v>14</v>
      </c>
      <c r="D82" s="2">
        <v>93</v>
      </c>
      <c r="E82" s="2">
        <v>90</v>
      </c>
      <c r="F82" s="2">
        <v>92</v>
      </c>
      <c r="G82" s="2">
        <v>89</v>
      </c>
      <c r="H82" s="3">
        <f t="shared" si="4"/>
        <v>90.33</v>
      </c>
      <c r="I82" t="str">
        <f t="shared" si="5"/>
        <v>Pass</v>
      </c>
    </row>
    <row r="83" spans="1:9" x14ac:dyDescent="0.3">
      <c r="A83" t="s">
        <v>96</v>
      </c>
      <c r="B83" t="s">
        <v>10</v>
      </c>
      <c r="C83" t="s">
        <v>11</v>
      </c>
      <c r="D83" s="2">
        <v>93</v>
      </c>
      <c r="E83" s="2">
        <v>89</v>
      </c>
      <c r="F83" s="2">
        <v>90</v>
      </c>
      <c r="G83" s="2">
        <v>92</v>
      </c>
      <c r="H83" s="3">
        <f t="shared" si="4"/>
        <v>90.33</v>
      </c>
      <c r="I83" t="str">
        <f t="shared" si="5"/>
        <v>Pass</v>
      </c>
    </row>
    <row r="84" spans="1:9" x14ac:dyDescent="0.3">
      <c r="A84" t="s">
        <v>15</v>
      </c>
      <c r="B84" t="s">
        <v>10</v>
      </c>
      <c r="C84" t="s">
        <v>16</v>
      </c>
      <c r="D84" s="2">
        <v>95</v>
      </c>
      <c r="E84" s="2">
        <v>91</v>
      </c>
      <c r="F84" s="2">
        <v>88</v>
      </c>
      <c r="G84" s="2">
        <v>93</v>
      </c>
      <c r="H84" s="3">
        <f t="shared" si="4"/>
        <v>90.67</v>
      </c>
      <c r="I84" t="str">
        <f t="shared" si="5"/>
        <v>Pass</v>
      </c>
    </row>
    <row r="85" spans="1:9" x14ac:dyDescent="0.3">
      <c r="A85" t="s">
        <v>62</v>
      </c>
      <c r="B85" t="s">
        <v>10</v>
      </c>
      <c r="C85" t="s">
        <v>14</v>
      </c>
      <c r="D85" s="2">
        <v>94</v>
      </c>
      <c r="E85" s="2">
        <v>89</v>
      </c>
      <c r="F85" s="2">
        <v>91</v>
      </c>
      <c r="G85" s="2">
        <v>92</v>
      </c>
      <c r="H85" s="3">
        <f t="shared" si="4"/>
        <v>90.67</v>
      </c>
      <c r="I85" t="str">
        <f t="shared" si="5"/>
        <v>Pass</v>
      </c>
    </row>
    <row r="86" spans="1:9" x14ac:dyDescent="0.3">
      <c r="A86" t="s">
        <v>38</v>
      </c>
      <c r="B86" t="s">
        <v>10</v>
      </c>
      <c r="C86" t="s">
        <v>16</v>
      </c>
      <c r="D86" s="2">
        <v>90</v>
      </c>
      <c r="E86" s="2">
        <v>92</v>
      </c>
      <c r="F86" s="2">
        <v>86</v>
      </c>
      <c r="G86" s="2">
        <v>95</v>
      </c>
      <c r="H86" s="3">
        <f t="shared" si="4"/>
        <v>91</v>
      </c>
      <c r="I86" t="str">
        <f t="shared" si="5"/>
        <v>Pass</v>
      </c>
    </row>
    <row r="87" spans="1:9" x14ac:dyDescent="0.3">
      <c r="A87" t="s">
        <v>24</v>
      </c>
      <c r="B87" t="s">
        <v>10</v>
      </c>
      <c r="C87" t="s">
        <v>18</v>
      </c>
      <c r="D87" s="2">
        <v>96</v>
      </c>
      <c r="E87" s="2">
        <v>94</v>
      </c>
      <c r="F87" s="2">
        <v>91</v>
      </c>
      <c r="G87" s="2">
        <v>89</v>
      </c>
      <c r="H87" s="3">
        <f t="shared" si="4"/>
        <v>91.33</v>
      </c>
      <c r="I87" t="str">
        <f t="shared" si="5"/>
        <v>Pass</v>
      </c>
    </row>
    <row r="88" spans="1:9" x14ac:dyDescent="0.3">
      <c r="A88" t="s">
        <v>72</v>
      </c>
      <c r="B88" t="s">
        <v>10</v>
      </c>
      <c r="C88" t="s">
        <v>14</v>
      </c>
      <c r="D88" s="2">
        <v>93</v>
      </c>
      <c r="E88" s="2">
        <v>91</v>
      </c>
      <c r="F88" s="2">
        <v>89</v>
      </c>
      <c r="G88" s="2">
        <v>94</v>
      </c>
      <c r="H88" s="3">
        <f t="shared" si="4"/>
        <v>91.33</v>
      </c>
      <c r="I88" t="str">
        <f t="shared" si="5"/>
        <v>Pass</v>
      </c>
    </row>
    <row r="89" spans="1:9" x14ac:dyDescent="0.3">
      <c r="A89" t="s">
        <v>76</v>
      </c>
      <c r="B89" t="s">
        <v>10</v>
      </c>
      <c r="C89" t="s">
        <v>11</v>
      </c>
      <c r="D89" s="2">
        <v>95</v>
      </c>
      <c r="E89" s="2">
        <v>90</v>
      </c>
      <c r="F89" s="2">
        <v>92</v>
      </c>
      <c r="G89" s="2">
        <v>93</v>
      </c>
      <c r="H89" s="3">
        <f t="shared" si="4"/>
        <v>91.67</v>
      </c>
      <c r="I89" t="str">
        <f t="shared" si="5"/>
        <v>Pass</v>
      </c>
    </row>
    <row r="90" spans="1:9" x14ac:dyDescent="0.3">
      <c r="A90" t="s">
        <v>92</v>
      </c>
      <c r="B90" t="s">
        <v>10</v>
      </c>
      <c r="C90" t="s">
        <v>14</v>
      </c>
      <c r="D90" s="2">
        <v>94</v>
      </c>
      <c r="E90" s="2">
        <v>90</v>
      </c>
      <c r="F90" s="2">
        <v>92</v>
      </c>
      <c r="G90" s="2">
        <v>93</v>
      </c>
      <c r="H90" s="3">
        <f t="shared" si="4"/>
        <v>91.67</v>
      </c>
      <c r="I90" t="str">
        <f t="shared" si="5"/>
        <v>Pass</v>
      </c>
    </row>
    <row r="91" spans="1:9" x14ac:dyDescent="0.3">
      <c r="A91" t="s">
        <v>52</v>
      </c>
      <c r="B91" t="s">
        <v>10</v>
      </c>
      <c r="C91" t="s">
        <v>14</v>
      </c>
      <c r="D91" s="2">
        <v>95</v>
      </c>
      <c r="E91" s="2">
        <v>92</v>
      </c>
      <c r="F91" s="2">
        <v>90</v>
      </c>
      <c r="G91" s="2">
        <v>94</v>
      </c>
      <c r="H91" s="3">
        <f t="shared" si="4"/>
        <v>92</v>
      </c>
      <c r="I91" t="str">
        <f t="shared" si="5"/>
        <v>Pass</v>
      </c>
    </row>
    <row r="92" spans="1:9" x14ac:dyDescent="0.3">
      <c r="A92" t="s">
        <v>102</v>
      </c>
      <c r="B92" t="s">
        <v>10</v>
      </c>
      <c r="C92" t="s">
        <v>14</v>
      </c>
      <c r="D92" s="2">
        <v>96</v>
      </c>
      <c r="E92" s="2">
        <v>91</v>
      </c>
      <c r="F92" s="2">
        <v>93</v>
      </c>
      <c r="G92" s="2">
        <v>95</v>
      </c>
      <c r="H92" s="3">
        <f t="shared" si="4"/>
        <v>93</v>
      </c>
      <c r="I92" t="str">
        <f t="shared" si="5"/>
        <v>Pass</v>
      </c>
    </row>
    <row r="93" spans="1:9" x14ac:dyDescent="0.3">
      <c r="A93" t="s">
        <v>88</v>
      </c>
      <c r="B93" t="s">
        <v>10</v>
      </c>
      <c r="C93" t="s">
        <v>16</v>
      </c>
      <c r="D93" s="2">
        <v>96</v>
      </c>
      <c r="E93" s="2">
        <v>92</v>
      </c>
      <c r="F93" s="2">
        <v>94</v>
      </c>
      <c r="G93" s="2">
        <v>95</v>
      </c>
      <c r="H93" s="3">
        <f t="shared" si="4"/>
        <v>93.67</v>
      </c>
      <c r="I93" t="str">
        <f t="shared" si="5"/>
        <v>Pass</v>
      </c>
    </row>
    <row r="94" spans="1:9" x14ac:dyDescent="0.3">
      <c r="A94" t="s">
        <v>108</v>
      </c>
      <c r="B94" t="s">
        <v>10</v>
      </c>
      <c r="C94" t="s">
        <v>16</v>
      </c>
      <c r="D94" s="2">
        <v>95</v>
      </c>
      <c r="E94" s="2">
        <v>93</v>
      </c>
      <c r="F94" s="2">
        <v>92</v>
      </c>
      <c r="G94" s="2">
        <v>96</v>
      </c>
      <c r="H94" s="3">
        <f t="shared" si="4"/>
        <v>93.67</v>
      </c>
      <c r="I94" t="str">
        <f t="shared" si="5"/>
        <v>Pass</v>
      </c>
    </row>
    <row r="95" spans="1:9" x14ac:dyDescent="0.3">
      <c r="A95" t="s">
        <v>32</v>
      </c>
      <c r="B95" t="s">
        <v>10</v>
      </c>
      <c r="C95" t="s">
        <v>14</v>
      </c>
      <c r="D95" s="2">
        <v>97</v>
      </c>
      <c r="E95" s="2">
        <v>93</v>
      </c>
      <c r="F95" s="2">
        <v>95</v>
      </c>
      <c r="G95" s="2">
        <v>94</v>
      </c>
      <c r="H95" s="3">
        <f t="shared" si="4"/>
        <v>94</v>
      </c>
      <c r="I95" t="str">
        <f t="shared" si="5"/>
        <v>Pass</v>
      </c>
    </row>
    <row r="96" spans="1:9" x14ac:dyDescent="0.3">
      <c r="A96" t="s">
        <v>58</v>
      </c>
      <c r="B96" t="s">
        <v>10</v>
      </c>
      <c r="C96" t="s">
        <v>16</v>
      </c>
      <c r="D96" s="2">
        <v>96</v>
      </c>
      <c r="E96" s="2">
        <v>94</v>
      </c>
      <c r="F96" s="2">
        <v>93</v>
      </c>
      <c r="G96" s="2">
        <v>95</v>
      </c>
      <c r="H96" s="3">
        <f t="shared" si="4"/>
        <v>94</v>
      </c>
      <c r="I96" t="str">
        <f t="shared" si="5"/>
        <v>Pass</v>
      </c>
    </row>
    <row r="97" spans="1:9" x14ac:dyDescent="0.3">
      <c r="A97" t="s">
        <v>82</v>
      </c>
      <c r="B97" t="s">
        <v>10</v>
      </c>
      <c r="C97" t="s">
        <v>14</v>
      </c>
      <c r="D97" s="2">
        <v>97</v>
      </c>
      <c r="E97" s="2">
        <v>94</v>
      </c>
      <c r="F97" s="2">
        <v>93</v>
      </c>
      <c r="G97" s="2">
        <v>96</v>
      </c>
      <c r="H97" s="3">
        <f t="shared" si="4"/>
        <v>94.33</v>
      </c>
      <c r="I97" t="str">
        <f t="shared" si="5"/>
        <v>Pass</v>
      </c>
    </row>
    <row r="98" spans="1:9" x14ac:dyDescent="0.3">
      <c r="A98" t="s">
        <v>46</v>
      </c>
      <c r="B98" t="s">
        <v>10</v>
      </c>
      <c r="C98" t="s">
        <v>11</v>
      </c>
      <c r="D98" s="2">
        <v>98</v>
      </c>
      <c r="E98" s="2">
        <v>95</v>
      </c>
      <c r="F98" s="2">
        <v>94</v>
      </c>
      <c r="G98" s="2">
        <v>96</v>
      </c>
      <c r="H98" s="3">
        <f t="shared" ref="H98:H129" si="6">ROUND(AVERAGE(E98:G98),2)</f>
        <v>95</v>
      </c>
      <c r="I98" t="str">
        <f t="shared" ref="I98:I129" si="7">IF(H98&gt;=50,"Pass","Fail")</f>
        <v>Pass</v>
      </c>
    </row>
    <row r="99" spans="1:9" x14ac:dyDescent="0.3">
      <c r="A99" t="s">
        <v>112</v>
      </c>
      <c r="B99" t="s">
        <v>10</v>
      </c>
      <c r="C99" t="s">
        <v>14</v>
      </c>
      <c r="D99" s="2">
        <v>97</v>
      </c>
      <c r="E99" s="2">
        <v>94</v>
      </c>
      <c r="F99" s="2">
        <v>95</v>
      </c>
      <c r="G99" s="2">
        <v>96</v>
      </c>
      <c r="H99" s="3">
        <f t="shared" si="6"/>
        <v>95</v>
      </c>
      <c r="I99" t="str">
        <f t="shared" si="7"/>
        <v>Pass</v>
      </c>
    </row>
    <row r="100" spans="1:9" x14ac:dyDescent="0.3">
      <c r="A100" t="s">
        <v>98</v>
      </c>
      <c r="B100" t="s">
        <v>10</v>
      </c>
      <c r="C100" t="s">
        <v>16</v>
      </c>
      <c r="D100" s="2">
        <v>98</v>
      </c>
      <c r="E100" s="2">
        <v>95</v>
      </c>
      <c r="F100" s="2">
        <v>94</v>
      </c>
      <c r="G100" s="2">
        <v>97</v>
      </c>
      <c r="H100" s="3">
        <f t="shared" si="6"/>
        <v>95.33</v>
      </c>
      <c r="I100" t="str">
        <f t="shared" si="7"/>
        <v>Pass</v>
      </c>
    </row>
    <row r="101" spans="1:9" x14ac:dyDescent="0.3">
      <c r="A101" t="s">
        <v>68</v>
      </c>
      <c r="B101" t="s">
        <v>10</v>
      </c>
      <c r="C101" t="s">
        <v>16</v>
      </c>
      <c r="D101" s="2">
        <v>99</v>
      </c>
      <c r="E101" s="2">
        <v>96</v>
      </c>
      <c r="F101" s="2">
        <v>95</v>
      </c>
      <c r="G101" s="2">
        <v>98</v>
      </c>
      <c r="H101" s="3">
        <f t="shared" si="6"/>
        <v>96.33</v>
      </c>
      <c r="I101" t="str">
        <f t="shared" si="7"/>
        <v>Pass</v>
      </c>
    </row>
  </sheetData>
  <autoFilter ref="A1:I101" xr:uid="{00000000-0009-0000-0000-000000000000}">
    <sortState xmlns:xlrd2="http://schemas.microsoft.com/office/spreadsheetml/2017/richdata2" ref="A2:I101">
      <sortCondition ref="H1:H1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3EAA-7DBF-430C-B353-D2BE6E97FE89}">
  <dimension ref="A1:B10"/>
  <sheetViews>
    <sheetView workbookViewId="0">
      <selection activeCell="F22" sqref="F22"/>
    </sheetView>
  </sheetViews>
  <sheetFormatPr defaultRowHeight="14.4" x14ac:dyDescent="0.3"/>
  <cols>
    <col min="1" max="1" width="22.33203125" customWidth="1"/>
    <col min="2" max="2" width="12.109375" customWidth="1"/>
  </cols>
  <sheetData>
    <row r="1" spans="1:2" x14ac:dyDescent="0.3">
      <c r="A1" s="7" t="s">
        <v>116</v>
      </c>
      <c r="B1" s="7" t="s">
        <v>118</v>
      </c>
    </row>
    <row r="2" spans="1:2" x14ac:dyDescent="0.3">
      <c r="A2" s="4" t="s">
        <v>117</v>
      </c>
      <c r="B2" s="5">
        <f>AVERAGE(Sheet1!E2:E101)</f>
        <v>76.040000000000006</v>
      </c>
    </row>
    <row r="3" spans="1:2" x14ac:dyDescent="0.3">
      <c r="A3" s="4" t="s">
        <v>119</v>
      </c>
      <c r="B3" s="5">
        <f>AVERAGE(Sheet1!F2:F101)</f>
        <v>76.91</v>
      </c>
    </row>
    <row r="4" spans="1:2" x14ac:dyDescent="0.3">
      <c r="A4" s="4" t="s">
        <v>120</v>
      </c>
      <c r="B4" s="5">
        <f>AVERAGE(Sheet1!G2:G101)</f>
        <v>78.75</v>
      </c>
    </row>
    <row r="5" spans="1:2" x14ac:dyDescent="0.3">
      <c r="A5" s="4" t="s">
        <v>121</v>
      </c>
      <c r="B5" s="6">
        <f>AVERAGE(Sheet1!H2:H101)</f>
        <v>77.233700000000013</v>
      </c>
    </row>
    <row r="6" spans="1:2" x14ac:dyDescent="0.3">
      <c r="A6" s="4" t="s">
        <v>122</v>
      </c>
      <c r="B6" s="6">
        <f>MAX(Sheet1!H2:H101)</f>
        <v>96.33</v>
      </c>
    </row>
    <row r="7" spans="1:2" x14ac:dyDescent="0.3">
      <c r="A7" s="4" t="s">
        <v>123</v>
      </c>
      <c r="B7" s="6">
        <f>MIN(Sheet1!H2:H101)</f>
        <v>51.67</v>
      </c>
    </row>
    <row r="8" spans="1:2" x14ac:dyDescent="0.3">
      <c r="A8" s="4" t="s">
        <v>124</v>
      </c>
      <c r="B8" s="4">
        <f>COUNTIF(Sheet1!I2:I101,"Pass")</f>
        <v>100</v>
      </c>
    </row>
    <row r="9" spans="1:2" x14ac:dyDescent="0.3">
      <c r="A9" s="4" t="s">
        <v>125</v>
      </c>
      <c r="B9" s="4">
        <f>COUNTIF(Sheet1!I101,"Fail")</f>
        <v>0</v>
      </c>
    </row>
    <row r="10" spans="1:2" x14ac:dyDescent="0.3">
      <c r="A10" s="4" t="s">
        <v>126</v>
      </c>
      <c r="B10" s="8">
        <f>B8/(B8+B9)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Course Analysis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Pancholi</dc:creator>
  <cp:lastModifiedBy>Nancy Pancholi</cp:lastModifiedBy>
  <dcterms:created xsi:type="dcterms:W3CDTF">2026-10-02T14:31:38Z</dcterms:created>
  <dcterms:modified xsi:type="dcterms:W3CDTF">2026-10-02T16:28:10Z</dcterms:modified>
</cp:coreProperties>
</file>